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bicseguros-my.sharepoint.com/personal/leandro_antunes_bicseguros_ao/Documents/Ambiente de Trabalho/"/>
    </mc:Choice>
  </mc:AlternateContent>
  <xr:revisionPtr revIDLastSave="68" documentId="13_ncr:1_{D000C1A6-02DD-456E-B43B-0E1494448C47}" xr6:coauthVersionLast="47" xr6:coauthVersionMax="47" xr10:uidLastSave="{FA9E94F6-E868-4EA4-B69D-60F415C2DD0D}"/>
  <bookViews>
    <workbookView xWindow="-120" yWindow="-120" windowWidth="29040" windowHeight="15720" xr2:uid="{00000000-000D-0000-FFFF-FFFF00000000}"/>
  </bookViews>
  <sheets>
    <sheet name="Tarifas Saúde Familiar 2023" sheetId="9" r:id="rId1"/>
  </sheets>
  <externalReferences>
    <externalReference r:id="rId2"/>
    <externalReference r:id="rId3"/>
  </externalReferences>
  <definedNames>
    <definedName name="Child">'[1]Nr lives p.Plan p.Age p.Gen mem'!$AB$4:$AF$205</definedName>
    <definedName name="exc_rt">'[2]Comments on comparison'!$D$13</definedName>
    <definedName name="Member">'[1]Nr lives p.Plan p.Age p.Gen mem'!$N$4:$R$395</definedName>
    <definedName name="Spouse">'[1]Nr lives p.Plan p.Age p.Gen mem'!$U$4:$Y$314</definedName>
    <definedName name="unmatched_allmembs">'[1]Unmatched claims'!$H$61</definedName>
    <definedName name="unmatched_claims">'[1]Unmatched claims'!$G$61</definedName>
    <definedName name="unmatched_membsonly">'[1]Unmatched claims'!$I$61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7" i="9" l="1"/>
  <c r="Y28" i="9"/>
  <c r="Z28" i="9" s="1"/>
  <c r="Y29" i="9"/>
  <c r="Y30" i="9"/>
  <c r="Z30" i="9" s="1"/>
  <c r="Y31" i="9"/>
  <c r="Z31" i="9" s="1"/>
  <c r="Y32" i="9"/>
  <c r="Z32" i="9" s="1"/>
  <c r="Y26" i="9"/>
  <c r="Z26" i="9" s="1"/>
  <c r="U27" i="9"/>
  <c r="V27" i="9" s="1"/>
  <c r="U28" i="9"/>
  <c r="V28" i="9" s="1"/>
  <c r="U29" i="9"/>
  <c r="V29" i="9" s="1"/>
  <c r="U30" i="9"/>
  <c r="V30" i="9" s="1"/>
  <c r="U31" i="9"/>
  <c r="V31" i="9" s="1"/>
  <c r="U32" i="9"/>
  <c r="V32" i="9" s="1"/>
  <c r="U26" i="9"/>
  <c r="V26" i="9" s="1"/>
  <c r="Q27" i="9"/>
  <c r="R27" i="9" s="1"/>
  <c r="Q28" i="9"/>
  <c r="R28" i="9" s="1"/>
  <c r="Q29" i="9"/>
  <c r="R29" i="9" s="1"/>
  <c r="Q30" i="9"/>
  <c r="Q31" i="9"/>
  <c r="Q32" i="9"/>
  <c r="Q26" i="9"/>
  <c r="Z27" i="9"/>
  <c r="Z29" i="9"/>
  <c r="R32" i="9"/>
  <c r="X33" i="9"/>
  <c r="T33" i="9"/>
  <c r="P33" i="9"/>
  <c r="R31" i="9"/>
  <c r="R30" i="9"/>
  <c r="U33" i="9" l="1"/>
  <c r="Y33" i="9"/>
  <c r="Q33" i="9"/>
  <c r="Z33" i="9"/>
  <c r="V33" i="9"/>
  <c r="R26" i="9" l="1"/>
  <c r="R33" i="9" s="1"/>
</calcChain>
</file>

<file path=xl/sharedStrings.xml><?xml version="1.0" encoding="utf-8"?>
<sst xmlns="http://schemas.openxmlformats.org/spreadsheetml/2006/main" count="61" uniqueCount="22">
  <si>
    <t>KZ</t>
  </si>
  <si>
    <t>Data:</t>
  </si>
  <si>
    <t>BIC Plus</t>
  </si>
  <si>
    <t>BIC Top</t>
  </si>
  <si>
    <t>Tarifa SAÚDE Familiar- Prémio Risco - Todos os Planos - KZ</t>
  </si>
  <si>
    <t>Tarifa SAÚDE Familiar- Prémio Total - Todos os Planos - KZ</t>
  </si>
  <si>
    <t>Homem</t>
  </si>
  <si>
    <t>Mulher</t>
  </si>
  <si>
    <t>Criança</t>
  </si>
  <si>
    <t>Bic Mega</t>
  </si>
  <si>
    <t>PLUS</t>
  </si>
  <si>
    <t>TOP</t>
  </si>
  <si>
    <t>MEGA</t>
  </si>
  <si>
    <t>Nª Pesssoas</t>
  </si>
  <si>
    <t>Desconto</t>
  </si>
  <si>
    <t xml:space="preserve">2 pessoas </t>
  </si>
  <si>
    <t xml:space="preserve">3 pessoas </t>
  </si>
  <si>
    <t xml:space="preserve">4 pessoas ou + </t>
  </si>
  <si>
    <t>Prémio PLUS</t>
  </si>
  <si>
    <t>Prémio TOP</t>
  </si>
  <si>
    <t>Prémio MEGA</t>
  </si>
  <si>
    <t>Desconto 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</si>
</sst>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.00_ ;_ * \-#,##0.00_ ;_ * &quot;-&quot;??_ ;_ @_ "/>
    <numFmt numFmtId="165" formatCode="#,##0_ ;\-#,##0\ "/>
    <numFmt numFmtId="166" formatCode="_-* #,##0_-;\-* #,##0_-;_-* &quot;-&quot;??_-;_-@_-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3" fillId="5" borderId="0" xfId="0" applyFont="1" applyFill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2" fillId="0" borderId="1" xfId="1" applyNumberFormat="1" applyFon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right"/>
    </xf>
    <xf numFmtId="14" fontId="6" fillId="5" borderId="0" xfId="0" applyNumberFormat="1" applyFont="1" applyFill="1"/>
    <xf numFmtId="165" fontId="2" fillId="6" borderId="1" xfId="1" applyNumberFormat="1" applyFont="1" applyFill="1" applyBorder="1" applyAlignment="1">
      <alignment horizontal="right"/>
    </xf>
    <xf numFmtId="0" fontId="7" fillId="0" borderId="0" xfId="0" applyFont="1" applyAlignment="1">
      <alignment horizontal="center"/>
    </xf>
    <xf numFmtId="166" fontId="0" fillId="0" borderId="0" xfId="7" applyNumberFormat="1" applyFont="1"/>
    <xf numFmtId="166" fontId="7" fillId="0" borderId="0" xfId="7" applyNumberFormat="1" applyFont="1" applyAlignment="1">
      <alignment horizontal="center"/>
    </xf>
    <xf numFmtId="166" fontId="4" fillId="0" borderId="0" xfId="7" applyNumberFormat="1" applyFont="1" applyAlignment="1"/>
    <xf numFmtId="166" fontId="7" fillId="0" borderId="0" xfId="0" applyNumberFormat="1" applyFont="1"/>
    <xf numFmtId="166" fontId="7" fillId="0" borderId="0" xfId="7" applyNumberFormat="1" applyFont="1" applyAlignment="1"/>
    <xf numFmtId="166" fontId="4" fillId="0" borderId="0" xfId="7" applyNumberFormat="1" applyFont="1" applyAlignment="1">
      <alignment horizontal="center"/>
    </xf>
    <xf numFmtId="166" fontId="7" fillId="0" borderId="0" xfId="7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165" fontId="2" fillId="5" borderId="1" xfId="1" applyNumberFormat="1" applyFont="1" applyFill="1" applyBorder="1" applyAlignment="1">
      <alignment horizontal="right"/>
    </xf>
    <xf numFmtId="0" fontId="0" fillId="5" borderId="1" xfId="0" applyFill="1" applyBorder="1"/>
    <xf numFmtId="0" fontId="7" fillId="0" borderId="0" xfId="0" applyFont="1"/>
    <xf numFmtId="9" fontId="7" fillId="0" borderId="0" xfId="0" applyNumberFormat="1" applyFont="1" applyAlignment="1">
      <alignment horizontal="center"/>
    </xf>
    <xf numFmtId="166" fontId="7" fillId="6" borderId="0" xfId="7" applyNumberFormat="1" applyFont="1" applyFill="1" applyAlignment="1">
      <alignment horizontal="center"/>
    </xf>
    <xf numFmtId="0" fontId="7" fillId="6" borderId="0" xfId="0" applyFont="1" applyFill="1"/>
    <xf numFmtId="166" fontId="7" fillId="2" borderId="0" xfId="7" applyNumberFormat="1" applyFont="1" applyFill="1" applyAlignment="1">
      <alignment horizontal="center"/>
    </xf>
    <xf numFmtId="166" fontId="0" fillId="0" borderId="0" xfId="0" applyNumberFormat="1"/>
    <xf numFmtId="166" fontId="7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6" fontId="7" fillId="0" borderId="0" xfId="7" applyNumberFormat="1" applyFont="1"/>
  </cellXfs>
  <cellStyles count="8">
    <cellStyle name="Comma 2 4" xfId="3" xr:uid="{00000000-0005-0000-0000-000000000000}"/>
    <cellStyle name="Comma 4" xfId="1" xr:uid="{00000000-0005-0000-0000-000001000000}"/>
    <cellStyle name="Comma 4 2" xfId="6" xr:uid="{479B850F-84B2-4188-AA9B-43A40E1DB8EA}"/>
    <cellStyle name="Normal" xfId="0" builtinId="0"/>
    <cellStyle name="Normal 2" xfId="5" xr:uid="{E8A75A58-627E-4431-8540-3751E34929F5}"/>
    <cellStyle name="Normal 5" xfId="2" xr:uid="{00000000-0005-0000-0000-000003000000}"/>
    <cellStyle name="Percent 2" xfId="4" xr:uid="{00000000-0005-0000-0000-000004000000}"/>
    <cellStyle name="Vírgula" xfId="7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frubero/AppData/Local/Microsoft/Windows/Temporary%20Internet%20Files/Content.Outlook/GNLH6977/Risk%20cost%20calculations%20v6%20different%20smoothing.xlsx" TargetMode="External"/><Relationship Id="rId1" Type="http://schemas.openxmlformats.org/officeDocument/2006/relationships/externalLinkPath" Target="/Users/frubero/AppData/Local/Microsoft/Windows/Temporary%20Internet%20Files/Content.Outlook/GNLH6977/Risk%20cost%20calculations%20v6%20different%20smooth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frubero/AppData/Local/Microsoft/Windows/Temporary%20Internet%20Files/Content.Outlook/GNLH6977/Competitor%20analysis_Francisco%20Afonso_Revis&#227;o%20BIC%20Seguros%20(2)%2016102015.xlsx" TargetMode="External"/><Relationship Id="rId1" Type="http://schemas.openxmlformats.org/officeDocument/2006/relationships/externalLinkPath" Target="/Users/frubero/AppData/Local/Microsoft/Windows/Temporary%20Internet%20Files/Content.Outlook/GNLH6977/Competitor%20analysis_Francisco%20Afonso_Revis&#227;o%20BIC%20Seguros%20(2)%20161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C_GOLD_Inflated"/>
      <sheetName val="BIC_SILVER_Inflated"/>
      <sheetName val="BIC_BRONZE_Inflated"/>
      <sheetName val="BIC_BASIC_Inflated"/>
      <sheetName val="Data_NonInflated"/>
      <sheetName val="Data_Inflated"/>
      <sheetName val="BIC_DATA_NonInflated"/>
      <sheetName val="BIC_DATA_Inflated"/>
      <sheetName val="BIC Total Inflated"/>
      <sheetName val="Nr of Lives per Plan"/>
      <sheetName val="Nr lives p.Plan p.Age p.Gender"/>
      <sheetName val="GOLD"/>
      <sheetName val="SILVER"/>
      <sheetName val="BRONZE"/>
      <sheetName val="BASIC"/>
      <sheetName val="Gold _BIC claims"/>
      <sheetName val="Silver_BIC claims"/>
      <sheetName val="Bronze_BIC claims"/>
      <sheetName val="Basic_BIC claims"/>
      <sheetName val="Nr lives p.Plan p.Age p.Gen mem"/>
      <sheetName val="summary age band"/>
      <sheetName val="Graphs age band"/>
      <sheetName val="summary incurred month"/>
      <sheetName val="Graphs incurred month"/>
      <sheetName val="sum ageb - mat all membs"/>
      <sheetName val="Pivot with results (all membs)"/>
      <sheetName val="sum ageb - mat membs only"/>
      <sheetName val="Pivot results (only membs)"/>
      <sheetName val="Pivot results (Only membs neona"/>
      <sheetName val="summary age band status member"/>
      <sheetName val="Graphs"/>
      <sheetName val="Setting risk cost 0-5"/>
      <sheetName val="Groups risk factors"/>
      <sheetName val="Comparison member vs all member"/>
      <sheetName val="Proposed Gross rates"/>
      <sheetName val="Capital calculations"/>
      <sheetName val="Unmatched claims"/>
      <sheetName val="0 year ol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N4" t="str">
            <v>0GoldMale</v>
          </cell>
          <cell r="O4">
            <v>0</v>
          </cell>
          <cell r="P4" t="str">
            <v>Gold</v>
          </cell>
          <cell r="Q4" t="str">
            <v>Male</v>
          </cell>
          <cell r="R4">
            <v>0.28493150684931506</v>
          </cell>
          <cell r="U4" t="str">
            <v>17GoldFemale</v>
          </cell>
          <cell r="V4">
            <v>17</v>
          </cell>
          <cell r="W4" t="str">
            <v>Gold</v>
          </cell>
          <cell r="X4" t="str">
            <v>Female</v>
          </cell>
          <cell r="Y4">
            <v>1.7917808219178082</v>
          </cell>
          <cell r="AB4" t="str">
            <v>0BasicFemale</v>
          </cell>
          <cell r="AC4">
            <v>0</v>
          </cell>
          <cell r="AD4" t="str">
            <v>Basic</v>
          </cell>
          <cell r="AE4" t="str">
            <v>Female</v>
          </cell>
          <cell r="AF4">
            <v>14.057534246575345</v>
          </cell>
        </row>
        <row r="5">
          <cell r="N5" t="str">
            <v>1BasicMale</v>
          </cell>
          <cell r="O5">
            <v>1</v>
          </cell>
          <cell r="P5" t="str">
            <v>Basic</v>
          </cell>
          <cell r="Q5" t="str">
            <v>Male</v>
          </cell>
          <cell r="R5">
            <v>0</v>
          </cell>
          <cell r="U5" t="str">
            <v>18BasicFemale</v>
          </cell>
          <cell r="V5">
            <v>18</v>
          </cell>
          <cell r="W5" t="str">
            <v>Basic</v>
          </cell>
          <cell r="X5" t="str">
            <v>Female</v>
          </cell>
          <cell r="Y5">
            <v>1.6</v>
          </cell>
          <cell r="AB5" t="str">
            <v>0BasicMale</v>
          </cell>
          <cell r="AC5">
            <v>0</v>
          </cell>
          <cell r="AD5" t="str">
            <v>Basic</v>
          </cell>
          <cell r="AE5" t="str">
            <v>Male</v>
          </cell>
          <cell r="AF5">
            <v>15.830136986301373</v>
          </cell>
        </row>
        <row r="6">
          <cell r="N6" t="str">
            <v>1GoldFemale</v>
          </cell>
          <cell r="O6">
            <v>1</v>
          </cell>
          <cell r="P6" t="str">
            <v>Gold</v>
          </cell>
          <cell r="Q6" t="str">
            <v>Female</v>
          </cell>
          <cell r="R6">
            <v>1.8712328767123287</v>
          </cell>
          <cell r="U6" t="str">
            <v>18GoldFemale</v>
          </cell>
          <cell r="V6">
            <v>18</v>
          </cell>
          <cell r="W6" t="str">
            <v>Gold</v>
          </cell>
          <cell r="X6" t="str">
            <v>Female</v>
          </cell>
          <cell r="Y6">
            <v>8.0109589041095894</v>
          </cell>
          <cell r="AB6" t="str">
            <v>0GoldFemale</v>
          </cell>
          <cell r="AC6">
            <v>0</v>
          </cell>
          <cell r="AD6" t="str">
            <v>Gold</v>
          </cell>
          <cell r="AE6" t="str">
            <v>Female</v>
          </cell>
          <cell r="AF6">
            <v>51.699708061980701</v>
          </cell>
        </row>
        <row r="7">
          <cell r="N7" t="str">
            <v>1GoldMale</v>
          </cell>
          <cell r="O7">
            <v>1</v>
          </cell>
          <cell r="P7" t="str">
            <v>Gold</v>
          </cell>
          <cell r="Q7" t="str">
            <v>Male</v>
          </cell>
          <cell r="R7">
            <v>1.0392694063926942</v>
          </cell>
          <cell r="U7" t="str">
            <v>18GoldMale</v>
          </cell>
          <cell r="V7">
            <v>18</v>
          </cell>
          <cell r="W7" t="str">
            <v>Gold</v>
          </cell>
          <cell r="X7" t="str">
            <v>Male</v>
          </cell>
          <cell r="Y7">
            <v>10.135391870649002</v>
          </cell>
          <cell r="AB7" t="str">
            <v>0GoldMale</v>
          </cell>
          <cell r="AC7">
            <v>0</v>
          </cell>
          <cell r="AD7" t="str">
            <v>Gold</v>
          </cell>
          <cell r="AE7" t="str">
            <v>Male</v>
          </cell>
          <cell r="AF7">
            <v>66.668365895650851</v>
          </cell>
        </row>
        <row r="8">
          <cell r="N8" t="str">
            <v>2BasicMale</v>
          </cell>
          <cell r="O8">
            <v>2</v>
          </cell>
          <cell r="P8" t="str">
            <v>Basic</v>
          </cell>
          <cell r="Q8" t="str">
            <v>Male</v>
          </cell>
          <cell r="R8">
            <v>1.2</v>
          </cell>
          <cell r="U8" t="str">
            <v>18SilverFemale</v>
          </cell>
          <cell r="V8">
            <v>18</v>
          </cell>
          <cell r="W8" t="str">
            <v>Silver</v>
          </cell>
          <cell r="X8" t="str">
            <v>Female</v>
          </cell>
          <cell r="Y8">
            <v>0.68767123287671228</v>
          </cell>
          <cell r="AB8" t="str">
            <v>0SilverFemale</v>
          </cell>
          <cell r="AC8">
            <v>0</v>
          </cell>
          <cell r="AD8" t="str">
            <v>Silver</v>
          </cell>
          <cell r="AE8" t="str">
            <v>Female</v>
          </cell>
          <cell r="AF8">
            <v>37.002739726027414</v>
          </cell>
        </row>
        <row r="9">
          <cell r="N9" t="str">
            <v>2GoldFemale</v>
          </cell>
          <cell r="O9">
            <v>2</v>
          </cell>
          <cell r="P9" t="str">
            <v>Gold</v>
          </cell>
          <cell r="Q9" t="str">
            <v>Female</v>
          </cell>
          <cell r="R9">
            <v>0.87671232876712324</v>
          </cell>
          <cell r="U9" t="str">
            <v>18SilverMale</v>
          </cell>
          <cell r="V9">
            <v>18</v>
          </cell>
          <cell r="W9" t="str">
            <v>Silver</v>
          </cell>
          <cell r="X9" t="str">
            <v>Male</v>
          </cell>
          <cell r="Y9">
            <v>0.9178082191780822</v>
          </cell>
          <cell r="AB9" t="str">
            <v>0SilverMale</v>
          </cell>
          <cell r="AC9">
            <v>0</v>
          </cell>
          <cell r="AD9" t="str">
            <v>Silver</v>
          </cell>
          <cell r="AE9" t="str">
            <v>Male</v>
          </cell>
          <cell r="AF9">
            <v>38.980821917808214</v>
          </cell>
        </row>
        <row r="10">
          <cell r="N10" t="str">
            <v>2GoldMale</v>
          </cell>
          <cell r="O10">
            <v>2</v>
          </cell>
          <cell r="P10" t="str">
            <v>Gold</v>
          </cell>
          <cell r="Q10" t="str">
            <v>Male</v>
          </cell>
          <cell r="R10">
            <v>0.87671232876712324</v>
          </cell>
          <cell r="U10" t="str">
            <v>19BasicFemale</v>
          </cell>
          <cell r="V10">
            <v>19</v>
          </cell>
          <cell r="W10" t="str">
            <v>Basic</v>
          </cell>
          <cell r="X10" t="str">
            <v>Female</v>
          </cell>
          <cell r="Y10">
            <v>1.3835616438356166</v>
          </cell>
          <cell r="AB10" t="str">
            <v>1BasicFemale</v>
          </cell>
          <cell r="AC10">
            <v>1</v>
          </cell>
          <cell r="AD10" t="str">
            <v>Basic</v>
          </cell>
          <cell r="AE10" t="str">
            <v>Female</v>
          </cell>
          <cell r="AF10">
            <v>84.136986301369859</v>
          </cell>
        </row>
        <row r="11">
          <cell r="N11" t="str">
            <v>4SilverFemale</v>
          </cell>
          <cell r="O11">
            <v>4</v>
          </cell>
          <cell r="P11" t="str">
            <v>Silver</v>
          </cell>
          <cell r="Q11" t="str">
            <v>Female</v>
          </cell>
          <cell r="R11">
            <v>0.46575342465753422</v>
          </cell>
          <cell r="U11" t="str">
            <v>19GoldFemale</v>
          </cell>
          <cell r="V11">
            <v>19</v>
          </cell>
          <cell r="W11" t="str">
            <v>Gold</v>
          </cell>
          <cell r="X11" t="str">
            <v>Female</v>
          </cell>
          <cell r="Y11">
            <v>9.7479452054794535</v>
          </cell>
          <cell r="AB11" t="str">
            <v>1BasicMale</v>
          </cell>
          <cell r="AC11">
            <v>1</v>
          </cell>
          <cell r="AD11" t="str">
            <v>Basic</v>
          </cell>
          <cell r="AE11" t="str">
            <v>Male</v>
          </cell>
          <cell r="AF11">
            <v>92.435616438356206</v>
          </cell>
        </row>
        <row r="12">
          <cell r="N12" t="str">
            <v>5BasicFemale</v>
          </cell>
          <cell r="O12">
            <v>5</v>
          </cell>
          <cell r="P12" t="str">
            <v>Basic</v>
          </cell>
          <cell r="Q12" t="str">
            <v>Female</v>
          </cell>
          <cell r="R12">
            <v>0.8</v>
          </cell>
          <cell r="U12" t="str">
            <v>19GoldMale</v>
          </cell>
          <cell r="V12">
            <v>19</v>
          </cell>
          <cell r="W12" t="str">
            <v>Gold</v>
          </cell>
          <cell r="X12" t="str">
            <v>Male</v>
          </cell>
          <cell r="Y12">
            <v>4.3342465753424655</v>
          </cell>
          <cell r="AB12" t="str">
            <v>1BronzeFemale</v>
          </cell>
          <cell r="AC12">
            <v>1</v>
          </cell>
          <cell r="AD12" t="str">
            <v>Bronze</v>
          </cell>
          <cell r="AE12" t="str">
            <v>Female</v>
          </cell>
          <cell r="AF12">
            <v>0</v>
          </cell>
        </row>
        <row r="13">
          <cell r="N13" t="str">
            <v>6GoldMale</v>
          </cell>
          <cell r="O13">
            <v>6</v>
          </cell>
          <cell r="P13" t="str">
            <v>Gold</v>
          </cell>
          <cell r="Q13" t="str">
            <v>Male</v>
          </cell>
          <cell r="R13">
            <v>0.24931506849315069</v>
          </cell>
          <cell r="U13" t="str">
            <v>19SilverFemale</v>
          </cell>
          <cell r="V13">
            <v>19</v>
          </cell>
          <cell r="W13" t="str">
            <v>Silver</v>
          </cell>
          <cell r="X13" t="str">
            <v>Female</v>
          </cell>
          <cell r="Y13">
            <v>11.265753424657534</v>
          </cell>
          <cell r="AB13" t="str">
            <v>1BronzeMale</v>
          </cell>
          <cell r="AC13">
            <v>1</v>
          </cell>
          <cell r="AD13" t="str">
            <v>Bronze</v>
          </cell>
          <cell r="AE13" t="str">
            <v>Male</v>
          </cell>
          <cell r="AF13">
            <v>0</v>
          </cell>
        </row>
        <row r="14">
          <cell r="N14" t="str">
            <v>6SilverFemale</v>
          </cell>
          <cell r="O14">
            <v>6</v>
          </cell>
          <cell r="P14" t="str">
            <v>Silver</v>
          </cell>
          <cell r="Q14" t="str">
            <v>Female</v>
          </cell>
          <cell r="R14">
            <v>0</v>
          </cell>
          <cell r="U14" t="str">
            <v>19SilverMale</v>
          </cell>
          <cell r="V14">
            <v>19</v>
          </cell>
          <cell r="W14" t="str">
            <v>Silver</v>
          </cell>
          <cell r="X14" t="str">
            <v>Male</v>
          </cell>
          <cell r="Y14">
            <v>0.74794520547945209</v>
          </cell>
          <cell r="AB14" t="str">
            <v>1GoldFemale</v>
          </cell>
          <cell r="AC14">
            <v>1</v>
          </cell>
          <cell r="AD14" t="str">
            <v>Gold</v>
          </cell>
          <cell r="AE14" t="str">
            <v>Female</v>
          </cell>
          <cell r="AF14">
            <v>315.8816977318665</v>
          </cell>
        </row>
        <row r="15">
          <cell r="N15" t="str">
            <v>6SilverMale</v>
          </cell>
          <cell r="O15">
            <v>6</v>
          </cell>
          <cell r="P15" t="str">
            <v>Silver</v>
          </cell>
          <cell r="Q15" t="str">
            <v>Male</v>
          </cell>
          <cell r="R15">
            <v>1</v>
          </cell>
          <cell r="U15" t="str">
            <v>20BasicFemale</v>
          </cell>
          <cell r="V15">
            <v>20</v>
          </cell>
          <cell r="W15" t="str">
            <v>Basic</v>
          </cell>
          <cell r="X15" t="str">
            <v>Female</v>
          </cell>
          <cell r="Y15">
            <v>5.1041095890410961</v>
          </cell>
          <cell r="AB15" t="str">
            <v>1GoldMale</v>
          </cell>
          <cell r="AC15">
            <v>1</v>
          </cell>
          <cell r="AD15" t="str">
            <v>Gold</v>
          </cell>
          <cell r="AE15" t="str">
            <v>Male</v>
          </cell>
          <cell r="AF15">
            <v>354.73944157496794</v>
          </cell>
        </row>
        <row r="16">
          <cell r="N16" t="str">
            <v>7BasicMale</v>
          </cell>
          <cell r="O16">
            <v>7</v>
          </cell>
          <cell r="P16" t="str">
            <v>Basic</v>
          </cell>
          <cell r="Q16" t="str">
            <v>Male</v>
          </cell>
          <cell r="R16">
            <v>0.58356164383561648</v>
          </cell>
          <cell r="U16" t="str">
            <v>20BronzeFemale</v>
          </cell>
          <cell r="V16">
            <v>20</v>
          </cell>
          <cell r="W16" t="str">
            <v>Bronze</v>
          </cell>
          <cell r="X16" t="str">
            <v>Female</v>
          </cell>
          <cell r="Y16">
            <v>0</v>
          </cell>
          <cell r="AB16" t="str">
            <v>1GoldUnknown</v>
          </cell>
          <cell r="AC16">
            <v>1</v>
          </cell>
          <cell r="AD16" t="str">
            <v>Gold</v>
          </cell>
          <cell r="AE16" t="str">
            <v>Unknown</v>
          </cell>
          <cell r="AF16">
            <v>1.5081967213114753</v>
          </cell>
        </row>
        <row r="17">
          <cell r="N17" t="str">
            <v>7GoldMale</v>
          </cell>
          <cell r="O17">
            <v>7</v>
          </cell>
          <cell r="P17" t="str">
            <v>Gold</v>
          </cell>
          <cell r="Q17" t="str">
            <v>Male</v>
          </cell>
          <cell r="R17">
            <v>1</v>
          </cell>
          <cell r="U17" t="str">
            <v>20GoldFemale</v>
          </cell>
          <cell r="V17">
            <v>20</v>
          </cell>
          <cell r="W17" t="str">
            <v>Gold</v>
          </cell>
          <cell r="X17" t="str">
            <v>Female</v>
          </cell>
          <cell r="Y17">
            <v>12.956164383561644</v>
          </cell>
          <cell r="AB17" t="str">
            <v>1SilverFemale</v>
          </cell>
          <cell r="AC17">
            <v>1</v>
          </cell>
          <cell r="AD17" t="str">
            <v>Silver</v>
          </cell>
          <cell r="AE17" t="str">
            <v>Female</v>
          </cell>
          <cell r="AF17">
            <v>204.04383561643843</v>
          </cell>
        </row>
        <row r="18">
          <cell r="N18" t="str">
            <v>13GoldMale</v>
          </cell>
          <cell r="O18">
            <v>13</v>
          </cell>
          <cell r="P18" t="str">
            <v>Gold</v>
          </cell>
          <cell r="Q18" t="str">
            <v>Male</v>
          </cell>
          <cell r="R18">
            <v>0.58082191780821912</v>
          </cell>
          <cell r="U18" t="str">
            <v>20GoldMale</v>
          </cell>
          <cell r="V18">
            <v>20</v>
          </cell>
          <cell r="W18" t="str">
            <v>Gold</v>
          </cell>
          <cell r="X18" t="str">
            <v>Male</v>
          </cell>
          <cell r="Y18">
            <v>1</v>
          </cell>
          <cell r="AB18" t="str">
            <v>1SilverMale</v>
          </cell>
          <cell r="AC18">
            <v>1</v>
          </cell>
          <cell r="AD18" t="str">
            <v>Silver</v>
          </cell>
          <cell r="AE18" t="str">
            <v>Male</v>
          </cell>
          <cell r="AF18">
            <v>219.24109589041106</v>
          </cell>
        </row>
        <row r="19">
          <cell r="N19" t="str">
            <v>15BasicFemale</v>
          </cell>
          <cell r="O19">
            <v>15</v>
          </cell>
          <cell r="P19" t="str">
            <v>Basic</v>
          </cell>
          <cell r="Q19" t="str">
            <v>Female</v>
          </cell>
          <cell r="R19">
            <v>8.2191780821917804E-2</v>
          </cell>
          <cell r="U19" t="str">
            <v>20SilverFemale</v>
          </cell>
          <cell r="V19">
            <v>20</v>
          </cell>
          <cell r="W19" t="str">
            <v>Silver</v>
          </cell>
          <cell r="X19" t="str">
            <v>Female</v>
          </cell>
          <cell r="Y19">
            <v>23.783561643835625</v>
          </cell>
          <cell r="AB19" t="str">
            <v>1SilverUnknown</v>
          </cell>
          <cell r="AC19">
            <v>1</v>
          </cell>
          <cell r="AD19" t="str">
            <v>Silver</v>
          </cell>
          <cell r="AE19" t="str">
            <v>Unknown</v>
          </cell>
          <cell r="AF19">
            <v>0</v>
          </cell>
        </row>
        <row r="20">
          <cell r="N20" t="str">
            <v>15SilverMale</v>
          </cell>
          <cell r="O20">
            <v>15</v>
          </cell>
          <cell r="P20" t="str">
            <v>Silver</v>
          </cell>
          <cell r="Q20" t="str">
            <v>Male</v>
          </cell>
          <cell r="R20">
            <v>0.98630136986301364</v>
          </cell>
          <cell r="U20" t="str">
            <v>20SilverMale</v>
          </cell>
          <cell r="V20">
            <v>20</v>
          </cell>
          <cell r="W20" t="str">
            <v>Silver</v>
          </cell>
          <cell r="X20" t="str">
            <v>Male</v>
          </cell>
          <cell r="Y20">
            <v>1.6767123287671233</v>
          </cell>
          <cell r="AB20" t="str">
            <v>2BasicFemale</v>
          </cell>
          <cell r="AC20">
            <v>2</v>
          </cell>
          <cell r="AD20" t="str">
            <v>Basic</v>
          </cell>
          <cell r="AE20" t="str">
            <v>Female</v>
          </cell>
          <cell r="AF20">
            <v>93.739726027397268</v>
          </cell>
        </row>
        <row r="21">
          <cell r="N21" t="str">
            <v>16GoldMale</v>
          </cell>
          <cell r="O21">
            <v>16</v>
          </cell>
          <cell r="P21" t="str">
            <v>Gold</v>
          </cell>
          <cell r="Q21" t="str">
            <v>Male</v>
          </cell>
          <cell r="R21">
            <v>0.58082191780821912</v>
          </cell>
          <cell r="U21" t="str">
            <v>21BasicFemale</v>
          </cell>
          <cell r="V21">
            <v>21</v>
          </cell>
          <cell r="W21" t="str">
            <v>Basic</v>
          </cell>
          <cell r="X21" t="str">
            <v>Female</v>
          </cell>
          <cell r="Y21">
            <v>10.265753424657534</v>
          </cell>
          <cell r="AB21" t="str">
            <v>2BasicMale</v>
          </cell>
          <cell r="AC21">
            <v>2</v>
          </cell>
          <cell r="AD21" t="str">
            <v>Basic</v>
          </cell>
          <cell r="AE21" t="str">
            <v>Male</v>
          </cell>
          <cell r="AF21">
            <v>99.378082191780862</v>
          </cell>
        </row>
        <row r="22">
          <cell r="N22" t="str">
            <v>16SilverMale</v>
          </cell>
          <cell r="O22">
            <v>16</v>
          </cell>
          <cell r="P22" t="str">
            <v>Silver</v>
          </cell>
          <cell r="Q22" t="str">
            <v>Male</v>
          </cell>
          <cell r="R22">
            <v>0.65753424657534243</v>
          </cell>
          <cell r="U22" t="str">
            <v>21GoldFemale</v>
          </cell>
          <cell r="V22">
            <v>21</v>
          </cell>
          <cell r="W22" t="str">
            <v>Gold</v>
          </cell>
          <cell r="X22" t="str">
            <v>Female</v>
          </cell>
          <cell r="Y22">
            <v>25.268725203982335</v>
          </cell>
          <cell r="AB22" t="str">
            <v>2BronzeFemale</v>
          </cell>
          <cell r="AC22">
            <v>2</v>
          </cell>
          <cell r="AD22" t="str">
            <v>Bronze</v>
          </cell>
          <cell r="AE22" t="str">
            <v>Female</v>
          </cell>
          <cell r="AF22">
            <v>0</v>
          </cell>
        </row>
        <row r="23">
          <cell r="N23" t="str">
            <v>18BasicFemale</v>
          </cell>
          <cell r="O23">
            <v>18</v>
          </cell>
          <cell r="P23" t="str">
            <v>Basic</v>
          </cell>
          <cell r="Q23" t="str">
            <v>Female</v>
          </cell>
          <cell r="R23">
            <v>8.4931506849315067E-2</v>
          </cell>
          <cell r="U23" t="str">
            <v>21SilverFemale</v>
          </cell>
          <cell r="V23">
            <v>21</v>
          </cell>
          <cell r="W23" t="str">
            <v>Silver</v>
          </cell>
          <cell r="X23" t="str">
            <v>Female</v>
          </cell>
          <cell r="Y23">
            <v>42.375342465753427</v>
          </cell>
          <cell r="AB23" t="str">
            <v>2BronzeMale</v>
          </cell>
          <cell r="AC23">
            <v>2</v>
          </cell>
          <cell r="AD23" t="str">
            <v>Bronze</v>
          </cell>
          <cell r="AE23" t="str">
            <v>Male</v>
          </cell>
          <cell r="AF23">
            <v>0</v>
          </cell>
        </row>
        <row r="24">
          <cell r="N24" t="str">
            <v>18SilverFemale</v>
          </cell>
          <cell r="O24">
            <v>18</v>
          </cell>
          <cell r="P24" t="str">
            <v>Silver</v>
          </cell>
          <cell r="Q24" t="str">
            <v>Female</v>
          </cell>
          <cell r="R24">
            <v>1.7041095890410958</v>
          </cell>
          <cell r="U24" t="str">
            <v>22BasicFemale</v>
          </cell>
          <cell r="V24">
            <v>22</v>
          </cell>
          <cell r="W24" t="str">
            <v>Basic</v>
          </cell>
          <cell r="X24" t="str">
            <v>Female</v>
          </cell>
          <cell r="Y24">
            <v>22.405479452054799</v>
          </cell>
          <cell r="AB24" t="str">
            <v>2GoldFemale</v>
          </cell>
          <cell r="AC24">
            <v>2</v>
          </cell>
          <cell r="AD24" t="str">
            <v>Gold</v>
          </cell>
          <cell r="AE24" t="str">
            <v>Female</v>
          </cell>
          <cell r="AF24">
            <v>368.34778800808391</v>
          </cell>
        </row>
        <row r="25">
          <cell r="N25" t="str">
            <v>18SilverMale</v>
          </cell>
          <cell r="O25">
            <v>18</v>
          </cell>
          <cell r="P25" t="str">
            <v>Silver</v>
          </cell>
          <cell r="Q25" t="str">
            <v>Male</v>
          </cell>
          <cell r="R25">
            <v>0.67123287671232879</v>
          </cell>
          <cell r="U25" t="str">
            <v>22BasicMale</v>
          </cell>
          <cell r="V25">
            <v>22</v>
          </cell>
          <cell r="W25" t="str">
            <v>Basic</v>
          </cell>
          <cell r="X25" t="str">
            <v>Male</v>
          </cell>
          <cell r="Y25">
            <v>0.47123287671232877</v>
          </cell>
          <cell r="AB25" t="str">
            <v>2GoldMale</v>
          </cell>
          <cell r="AC25">
            <v>2</v>
          </cell>
          <cell r="AD25" t="str">
            <v>Gold</v>
          </cell>
          <cell r="AE25" t="str">
            <v>Male</v>
          </cell>
          <cell r="AF25">
            <v>389.69872744965846</v>
          </cell>
        </row>
        <row r="26">
          <cell r="N26" t="str">
            <v>19BasicFemale</v>
          </cell>
          <cell r="O26">
            <v>19</v>
          </cell>
          <cell r="P26" t="str">
            <v>Basic</v>
          </cell>
          <cell r="Q26" t="str">
            <v>Female</v>
          </cell>
          <cell r="R26">
            <v>1.3342465753424657</v>
          </cell>
          <cell r="U26" t="str">
            <v>22GoldFemale</v>
          </cell>
          <cell r="V26">
            <v>22</v>
          </cell>
          <cell r="W26" t="str">
            <v>Gold</v>
          </cell>
          <cell r="X26" t="str">
            <v>Female</v>
          </cell>
          <cell r="Y26">
            <v>39.634029493225547</v>
          </cell>
          <cell r="AB26" t="str">
            <v>2GoldUnknown</v>
          </cell>
          <cell r="AC26">
            <v>2</v>
          </cell>
          <cell r="AD26" t="str">
            <v>Gold</v>
          </cell>
          <cell r="AE26" t="str">
            <v>Unknown</v>
          </cell>
          <cell r="AF26">
            <v>3.0894827457144993</v>
          </cell>
        </row>
        <row r="27">
          <cell r="N27" t="str">
            <v>19BasicMale</v>
          </cell>
          <cell r="O27">
            <v>19</v>
          </cell>
          <cell r="P27" t="str">
            <v>Basic</v>
          </cell>
          <cell r="Q27" t="str">
            <v>Male</v>
          </cell>
          <cell r="R27">
            <v>1.2575342465753425</v>
          </cell>
          <cell r="U27" t="str">
            <v>22GoldMale</v>
          </cell>
          <cell r="V27">
            <v>22</v>
          </cell>
          <cell r="W27" t="str">
            <v>Gold</v>
          </cell>
          <cell r="X27" t="str">
            <v>Male</v>
          </cell>
          <cell r="Y27">
            <v>1.8301369863013699</v>
          </cell>
          <cell r="AB27" t="str">
            <v>2SilverFemale</v>
          </cell>
          <cell r="AC27">
            <v>2</v>
          </cell>
          <cell r="AD27" t="str">
            <v>Silver</v>
          </cell>
          <cell r="AE27" t="str">
            <v>Female</v>
          </cell>
          <cell r="AF27">
            <v>268.32054794520593</v>
          </cell>
        </row>
        <row r="28">
          <cell r="N28" t="str">
            <v>19GoldFemale</v>
          </cell>
          <cell r="O28">
            <v>19</v>
          </cell>
          <cell r="P28" t="str">
            <v>Gold</v>
          </cell>
          <cell r="Q28" t="str">
            <v>Female</v>
          </cell>
          <cell r="R28">
            <v>0.75342465753424659</v>
          </cell>
          <cell r="U28" t="str">
            <v>22SilverFemale</v>
          </cell>
          <cell r="V28">
            <v>22</v>
          </cell>
          <cell r="W28" t="str">
            <v>Silver</v>
          </cell>
          <cell r="X28" t="str">
            <v>Female</v>
          </cell>
          <cell r="Y28">
            <v>48.819178082191783</v>
          </cell>
          <cell r="AB28" t="str">
            <v>2SilverMale</v>
          </cell>
          <cell r="AC28">
            <v>2</v>
          </cell>
          <cell r="AD28" t="str">
            <v>Silver</v>
          </cell>
          <cell r="AE28" t="str">
            <v>Male</v>
          </cell>
          <cell r="AF28">
            <v>284.73424657534287</v>
          </cell>
        </row>
        <row r="29">
          <cell r="N29" t="str">
            <v>19GoldMale</v>
          </cell>
          <cell r="O29">
            <v>19</v>
          </cell>
          <cell r="P29" t="str">
            <v>Gold</v>
          </cell>
          <cell r="Q29" t="str">
            <v>Male</v>
          </cell>
          <cell r="R29">
            <v>3.1780821917808217</v>
          </cell>
          <cell r="U29" t="str">
            <v>22SilverMale</v>
          </cell>
          <cell r="V29">
            <v>22</v>
          </cell>
          <cell r="W29" t="str">
            <v>Silver</v>
          </cell>
          <cell r="X29" t="str">
            <v>Male</v>
          </cell>
          <cell r="Y29">
            <v>3.3753424657534246</v>
          </cell>
          <cell r="AB29" t="str">
            <v>2SilverUnknown</v>
          </cell>
          <cell r="AC29">
            <v>2</v>
          </cell>
          <cell r="AD29" t="str">
            <v>Silver</v>
          </cell>
          <cell r="AE29" t="str">
            <v>Unknown</v>
          </cell>
          <cell r="AF29">
            <v>1.2219178082191782</v>
          </cell>
        </row>
        <row r="30">
          <cell r="N30" t="str">
            <v>19SilverFemale</v>
          </cell>
          <cell r="O30">
            <v>19</v>
          </cell>
          <cell r="P30" t="str">
            <v>Silver</v>
          </cell>
          <cell r="Q30" t="str">
            <v>Female</v>
          </cell>
          <cell r="R30">
            <v>3.5863013698630137</v>
          </cell>
          <cell r="U30" t="str">
            <v>23BasicFemale</v>
          </cell>
          <cell r="V30">
            <v>23</v>
          </cell>
          <cell r="W30" t="str">
            <v>Basic</v>
          </cell>
          <cell r="X30" t="str">
            <v>Female</v>
          </cell>
          <cell r="Y30">
            <v>20.5041095890411</v>
          </cell>
          <cell r="AB30" t="str">
            <v>3BasicFemale</v>
          </cell>
          <cell r="AC30">
            <v>3</v>
          </cell>
          <cell r="AD30" t="str">
            <v>Basic</v>
          </cell>
          <cell r="AE30" t="str">
            <v>Female</v>
          </cell>
          <cell r="AF30">
            <v>96.850752301819014</v>
          </cell>
        </row>
        <row r="31">
          <cell r="N31" t="str">
            <v>19SilverMale</v>
          </cell>
          <cell r="O31">
            <v>19</v>
          </cell>
          <cell r="P31" t="str">
            <v>Silver</v>
          </cell>
          <cell r="Q31" t="str">
            <v>Male</v>
          </cell>
          <cell r="R31">
            <v>8.8657534246575338</v>
          </cell>
          <cell r="U31" t="str">
            <v>23BasicMale</v>
          </cell>
          <cell r="V31">
            <v>23</v>
          </cell>
          <cell r="W31" t="str">
            <v>Basic</v>
          </cell>
          <cell r="X31" t="str">
            <v>Male</v>
          </cell>
          <cell r="Y31">
            <v>1.7917808219178082</v>
          </cell>
          <cell r="AB31" t="str">
            <v>3BasicMale</v>
          </cell>
          <cell r="AC31">
            <v>3</v>
          </cell>
          <cell r="AD31" t="str">
            <v>Basic</v>
          </cell>
          <cell r="AE31" t="str">
            <v>Male</v>
          </cell>
          <cell r="AF31">
            <v>116.85632906654699</v>
          </cell>
        </row>
        <row r="32">
          <cell r="N32" t="str">
            <v>20BasicFemale</v>
          </cell>
          <cell r="O32">
            <v>20</v>
          </cell>
          <cell r="P32" t="str">
            <v>Basic</v>
          </cell>
          <cell r="Q32" t="str">
            <v>Female</v>
          </cell>
          <cell r="R32">
            <v>6.3863013698630136</v>
          </cell>
          <cell r="U32" t="str">
            <v>23BronzeFemale</v>
          </cell>
          <cell r="V32">
            <v>23</v>
          </cell>
          <cell r="W32" t="str">
            <v>Bronze</v>
          </cell>
          <cell r="X32" t="str">
            <v>Female</v>
          </cell>
          <cell r="Y32">
            <v>0</v>
          </cell>
          <cell r="AB32" t="str">
            <v>3BronzeFemale</v>
          </cell>
          <cell r="AC32">
            <v>3</v>
          </cell>
          <cell r="AD32" t="str">
            <v>Bronze</v>
          </cell>
          <cell r="AE32" t="str">
            <v>Female</v>
          </cell>
          <cell r="AF32">
            <v>0</v>
          </cell>
        </row>
        <row r="33">
          <cell r="N33" t="str">
            <v>20BasicMale</v>
          </cell>
          <cell r="O33">
            <v>20</v>
          </cell>
          <cell r="P33" t="str">
            <v>Basic</v>
          </cell>
          <cell r="Q33" t="str">
            <v>Male</v>
          </cell>
          <cell r="R33">
            <v>3.7726027397260276</v>
          </cell>
          <cell r="U33" t="str">
            <v>23GoldFemale</v>
          </cell>
          <cell r="V33">
            <v>23</v>
          </cell>
          <cell r="W33" t="str">
            <v>Gold</v>
          </cell>
          <cell r="X33" t="str">
            <v>Female</v>
          </cell>
          <cell r="Y33">
            <v>57.811909574069908</v>
          </cell>
          <cell r="AB33" t="str">
            <v>3BronzeMale</v>
          </cell>
          <cell r="AC33">
            <v>3</v>
          </cell>
          <cell r="AD33" t="str">
            <v>Bronze</v>
          </cell>
          <cell r="AE33" t="str">
            <v>Male</v>
          </cell>
          <cell r="AF33">
            <v>0</v>
          </cell>
        </row>
        <row r="34">
          <cell r="N34" t="str">
            <v>20BronzeMale</v>
          </cell>
          <cell r="O34">
            <v>20</v>
          </cell>
          <cell r="P34" t="str">
            <v>Bronze</v>
          </cell>
          <cell r="Q34" t="str">
            <v>Male</v>
          </cell>
          <cell r="R34">
            <v>0</v>
          </cell>
          <cell r="U34" t="str">
            <v>23GoldMale</v>
          </cell>
          <cell r="V34">
            <v>23</v>
          </cell>
          <cell r="W34" t="str">
            <v>Gold</v>
          </cell>
          <cell r="X34" t="str">
            <v>Male</v>
          </cell>
          <cell r="Y34">
            <v>0.46027397260273972</v>
          </cell>
          <cell r="AB34" t="str">
            <v>3GoldFemale</v>
          </cell>
          <cell r="AC34">
            <v>3</v>
          </cell>
          <cell r="AD34" t="str">
            <v>Gold</v>
          </cell>
          <cell r="AE34" t="str">
            <v>Female</v>
          </cell>
          <cell r="AF34">
            <v>381.05144846171049</v>
          </cell>
        </row>
        <row r="35">
          <cell r="N35" t="str">
            <v>20GoldFemale</v>
          </cell>
          <cell r="O35">
            <v>20</v>
          </cell>
          <cell r="P35" t="str">
            <v>Gold</v>
          </cell>
          <cell r="Q35" t="str">
            <v>Female</v>
          </cell>
          <cell r="R35">
            <v>0.72602739726027399</v>
          </cell>
          <cell r="U35" t="str">
            <v>23SilverFemale</v>
          </cell>
          <cell r="V35">
            <v>23</v>
          </cell>
          <cell r="W35" t="str">
            <v>Silver</v>
          </cell>
          <cell r="X35" t="str">
            <v>Female</v>
          </cell>
          <cell r="Y35">
            <v>63.232876712328753</v>
          </cell>
          <cell r="AB35" t="str">
            <v>3GoldMale</v>
          </cell>
          <cell r="AC35">
            <v>3</v>
          </cell>
          <cell r="AD35" t="str">
            <v>Gold</v>
          </cell>
          <cell r="AE35" t="str">
            <v>Male</v>
          </cell>
          <cell r="AF35">
            <v>345.91105621678236</v>
          </cell>
        </row>
        <row r="36">
          <cell r="N36" t="str">
            <v>20GoldMale</v>
          </cell>
          <cell r="O36">
            <v>20</v>
          </cell>
          <cell r="P36" t="str">
            <v>Gold</v>
          </cell>
          <cell r="Q36" t="str">
            <v>Male</v>
          </cell>
          <cell r="R36">
            <v>4.6136986301369856</v>
          </cell>
          <cell r="U36" t="str">
            <v>23SilverMale</v>
          </cell>
          <cell r="V36">
            <v>23</v>
          </cell>
          <cell r="W36" t="str">
            <v>Silver</v>
          </cell>
          <cell r="X36" t="str">
            <v>Male</v>
          </cell>
          <cell r="Y36">
            <v>1.9397260273972603</v>
          </cell>
          <cell r="AB36" t="str">
            <v>3GoldUnknown</v>
          </cell>
          <cell r="AC36">
            <v>3</v>
          </cell>
          <cell r="AD36" t="str">
            <v>Gold</v>
          </cell>
          <cell r="AE36" t="str">
            <v>Unknown</v>
          </cell>
          <cell r="AF36">
            <v>1.5081967213114753</v>
          </cell>
        </row>
        <row r="37">
          <cell r="N37" t="str">
            <v>20SilverFemale</v>
          </cell>
          <cell r="O37">
            <v>20</v>
          </cell>
          <cell r="P37" t="str">
            <v>Silver</v>
          </cell>
          <cell r="Q37" t="str">
            <v>Female</v>
          </cell>
          <cell r="R37">
            <v>9.1260273972602732</v>
          </cell>
          <cell r="U37" t="str">
            <v>24BasicFemale</v>
          </cell>
          <cell r="V37">
            <v>24</v>
          </cell>
          <cell r="W37" t="str">
            <v>Basic</v>
          </cell>
          <cell r="X37" t="str">
            <v>Female</v>
          </cell>
          <cell r="Y37">
            <v>31.898630136986306</v>
          </cell>
          <cell r="AB37" t="str">
            <v>3SilverFemale</v>
          </cell>
          <cell r="AC37">
            <v>3</v>
          </cell>
          <cell r="AD37" t="str">
            <v>Silver</v>
          </cell>
          <cell r="AE37" t="str">
            <v>Female</v>
          </cell>
          <cell r="AF37">
            <v>275.2520547945208</v>
          </cell>
        </row>
        <row r="38">
          <cell r="N38" t="str">
            <v>20SilverMale</v>
          </cell>
          <cell r="O38">
            <v>20</v>
          </cell>
          <cell r="P38" t="str">
            <v>Silver</v>
          </cell>
          <cell r="Q38" t="str">
            <v>Male</v>
          </cell>
          <cell r="R38">
            <v>24.698630136986303</v>
          </cell>
          <cell r="U38" t="str">
            <v>24BasicMale</v>
          </cell>
          <cell r="V38">
            <v>24</v>
          </cell>
          <cell r="W38" t="str">
            <v>Basic</v>
          </cell>
          <cell r="X38" t="str">
            <v>Male</v>
          </cell>
          <cell r="Y38">
            <v>3.2438356164383562</v>
          </cell>
          <cell r="AB38" t="str">
            <v>3SilverMale</v>
          </cell>
          <cell r="AC38">
            <v>3</v>
          </cell>
          <cell r="AD38" t="str">
            <v>Silver</v>
          </cell>
          <cell r="AE38" t="str">
            <v>Male</v>
          </cell>
          <cell r="AF38">
            <v>295.75342465753454</v>
          </cell>
        </row>
        <row r="39">
          <cell r="N39" t="str">
            <v>21BasicFemale</v>
          </cell>
          <cell r="O39">
            <v>21</v>
          </cell>
          <cell r="P39" t="str">
            <v>Basic</v>
          </cell>
          <cell r="Q39" t="str">
            <v>Female</v>
          </cell>
          <cell r="R39">
            <v>9.6082191780821926</v>
          </cell>
          <cell r="U39" t="str">
            <v>24BronzeFemale</v>
          </cell>
          <cell r="V39">
            <v>24</v>
          </cell>
          <cell r="W39" t="str">
            <v>Bronze</v>
          </cell>
          <cell r="X39" t="str">
            <v>Female</v>
          </cell>
          <cell r="Y39">
            <v>0</v>
          </cell>
          <cell r="AB39" t="str">
            <v>4BasicFemale</v>
          </cell>
          <cell r="AC39">
            <v>4</v>
          </cell>
          <cell r="AD39" t="str">
            <v>Basic</v>
          </cell>
          <cell r="AE39" t="str">
            <v>Female</v>
          </cell>
          <cell r="AF39">
            <v>94.065753424657615</v>
          </cell>
        </row>
        <row r="40">
          <cell r="N40" t="str">
            <v>21BasicMale</v>
          </cell>
          <cell r="O40">
            <v>21</v>
          </cell>
          <cell r="P40" t="str">
            <v>Basic</v>
          </cell>
          <cell r="Q40" t="str">
            <v>Male</v>
          </cell>
          <cell r="R40">
            <v>20.827397260273973</v>
          </cell>
          <cell r="U40" t="str">
            <v>24GoldFemale</v>
          </cell>
          <cell r="V40">
            <v>24</v>
          </cell>
          <cell r="W40" t="str">
            <v>Gold</v>
          </cell>
          <cell r="X40" t="str">
            <v>Female</v>
          </cell>
          <cell r="Y40">
            <v>90.418766374728705</v>
          </cell>
          <cell r="AB40" t="str">
            <v>4BasicMale</v>
          </cell>
          <cell r="AC40">
            <v>4</v>
          </cell>
          <cell r="AD40" t="str">
            <v>Basic</v>
          </cell>
          <cell r="AE40" t="str">
            <v>Male</v>
          </cell>
          <cell r="AF40">
            <v>89.630136986301395</v>
          </cell>
        </row>
        <row r="41">
          <cell r="N41" t="str">
            <v>21BronzeMale</v>
          </cell>
          <cell r="O41">
            <v>21</v>
          </cell>
          <cell r="P41" t="str">
            <v>Bronze</v>
          </cell>
          <cell r="Q41" t="str">
            <v>Male</v>
          </cell>
          <cell r="R41">
            <v>0</v>
          </cell>
          <cell r="U41" t="str">
            <v>24GoldMale</v>
          </cell>
          <cell r="V41">
            <v>24</v>
          </cell>
          <cell r="W41" t="str">
            <v>Gold</v>
          </cell>
          <cell r="X41" t="str">
            <v>Male</v>
          </cell>
          <cell r="Y41">
            <v>2.3534246575342466</v>
          </cell>
          <cell r="AB41" t="str">
            <v>4BronzeFemale</v>
          </cell>
          <cell r="AC41">
            <v>4</v>
          </cell>
          <cell r="AD41" t="str">
            <v>Bronze</v>
          </cell>
          <cell r="AE41" t="str">
            <v>Female</v>
          </cell>
          <cell r="AF41">
            <v>0</v>
          </cell>
        </row>
        <row r="42">
          <cell r="N42" t="str">
            <v>21GoldFemale</v>
          </cell>
          <cell r="O42">
            <v>21</v>
          </cell>
          <cell r="P42" t="str">
            <v>Gold</v>
          </cell>
          <cell r="Q42" t="str">
            <v>Female</v>
          </cell>
          <cell r="R42">
            <v>1.9232876712328766</v>
          </cell>
          <cell r="U42" t="str">
            <v>24SilverFemale</v>
          </cell>
          <cell r="V42">
            <v>24</v>
          </cell>
          <cell r="W42" t="str">
            <v>Silver</v>
          </cell>
          <cell r="X42" t="str">
            <v>Female</v>
          </cell>
          <cell r="Y42">
            <v>87.241095890410975</v>
          </cell>
          <cell r="AB42" t="str">
            <v>4BronzeMale</v>
          </cell>
          <cell r="AC42">
            <v>4</v>
          </cell>
          <cell r="AD42" t="str">
            <v>Bronze</v>
          </cell>
          <cell r="AE42" t="str">
            <v>Male</v>
          </cell>
          <cell r="AF42">
            <v>0</v>
          </cell>
        </row>
        <row r="43">
          <cell r="N43" t="str">
            <v>21GoldMale</v>
          </cell>
          <cell r="O43">
            <v>21</v>
          </cell>
          <cell r="P43" t="str">
            <v>Gold</v>
          </cell>
          <cell r="Q43" t="str">
            <v>Male</v>
          </cell>
          <cell r="R43">
            <v>6.4136986301369863</v>
          </cell>
          <cell r="U43" t="str">
            <v>24SilverMale</v>
          </cell>
          <cell r="V43">
            <v>24</v>
          </cell>
          <cell r="W43" t="str">
            <v>Silver</v>
          </cell>
          <cell r="X43" t="str">
            <v>Male</v>
          </cell>
          <cell r="Y43">
            <v>4.9917808219178079</v>
          </cell>
          <cell r="AB43" t="str">
            <v>4GoldFemale</v>
          </cell>
          <cell r="AC43">
            <v>4</v>
          </cell>
          <cell r="AD43" t="str">
            <v>Gold</v>
          </cell>
          <cell r="AE43" t="str">
            <v>Female</v>
          </cell>
          <cell r="AF43">
            <v>375.02245677071568</v>
          </cell>
        </row>
        <row r="44">
          <cell r="N44" t="str">
            <v>21SilverFemale</v>
          </cell>
          <cell r="O44">
            <v>21</v>
          </cell>
          <cell r="P44" t="str">
            <v>Silver</v>
          </cell>
          <cell r="Q44" t="str">
            <v>Female</v>
          </cell>
          <cell r="R44">
            <v>6.6630136986301363</v>
          </cell>
          <cell r="U44" t="str">
            <v>25BasicFemale</v>
          </cell>
          <cell r="V44">
            <v>25</v>
          </cell>
          <cell r="W44" t="str">
            <v>Basic</v>
          </cell>
          <cell r="X44" t="str">
            <v>Female</v>
          </cell>
          <cell r="Y44">
            <v>49.109589041095873</v>
          </cell>
          <cell r="AB44" t="str">
            <v>4GoldMale</v>
          </cell>
          <cell r="AC44">
            <v>4</v>
          </cell>
          <cell r="AD44" t="str">
            <v>Gold</v>
          </cell>
          <cell r="AE44" t="str">
            <v>Male</v>
          </cell>
          <cell r="AF44">
            <v>358.86520697656943</v>
          </cell>
        </row>
        <row r="45">
          <cell r="N45" t="str">
            <v>21SilverMale</v>
          </cell>
          <cell r="O45">
            <v>21</v>
          </cell>
          <cell r="P45" t="str">
            <v>Silver</v>
          </cell>
          <cell r="Q45" t="str">
            <v>Male</v>
          </cell>
          <cell r="R45">
            <v>39.378082191780834</v>
          </cell>
          <cell r="U45" t="str">
            <v>25BasicMale</v>
          </cell>
          <cell r="V45">
            <v>25</v>
          </cell>
          <cell r="W45" t="str">
            <v>Basic</v>
          </cell>
          <cell r="X45" t="str">
            <v>Male</v>
          </cell>
          <cell r="Y45">
            <v>0.38082191780821917</v>
          </cell>
          <cell r="AB45" t="str">
            <v>4GoldUnknown</v>
          </cell>
          <cell r="AC45">
            <v>4</v>
          </cell>
          <cell r="AD45" t="str">
            <v>Gold</v>
          </cell>
          <cell r="AE45" t="str">
            <v>Unknown</v>
          </cell>
          <cell r="AF45">
            <v>2.0869825585747437</v>
          </cell>
        </row>
        <row r="46">
          <cell r="N46" t="str">
            <v>22BasicFemale</v>
          </cell>
          <cell r="O46">
            <v>22</v>
          </cell>
          <cell r="P46" t="str">
            <v>Basic</v>
          </cell>
          <cell r="Q46" t="str">
            <v>Female</v>
          </cell>
          <cell r="R46">
            <v>23.443835616438356</v>
          </cell>
          <cell r="U46" t="str">
            <v>25BronzeFemale</v>
          </cell>
          <cell r="V46">
            <v>25</v>
          </cell>
          <cell r="W46" t="str">
            <v>Bronze</v>
          </cell>
          <cell r="X46" t="str">
            <v>Female</v>
          </cell>
          <cell r="Y46">
            <v>0</v>
          </cell>
          <cell r="AB46" t="str">
            <v>4SilverFemale</v>
          </cell>
          <cell r="AC46">
            <v>4</v>
          </cell>
          <cell r="AD46" t="str">
            <v>Silver</v>
          </cell>
          <cell r="AE46" t="str">
            <v>Female</v>
          </cell>
          <cell r="AF46">
            <v>292.40000000000049</v>
          </cell>
        </row>
        <row r="47">
          <cell r="N47" t="str">
            <v>22BasicMale</v>
          </cell>
          <cell r="O47">
            <v>22</v>
          </cell>
          <cell r="P47" t="str">
            <v>Basic</v>
          </cell>
          <cell r="Q47" t="str">
            <v>Male</v>
          </cell>
          <cell r="R47">
            <v>32.405479452054799</v>
          </cell>
          <cell r="U47" t="str">
            <v>25GoldFemale</v>
          </cell>
          <cell r="V47">
            <v>25</v>
          </cell>
          <cell r="W47" t="str">
            <v>Gold</v>
          </cell>
          <cell r="X47" t="str">
            <v>Female</v>
          </cell>
          <cell r="Y47">
            <v>109.54772063777231</v>
          </cell>
          <cell r="AB47" t="str">
            <v>4SilverMale</v>
          </cell>
          <cell r="AC47">
            <v>4</v>
          </cell>
          <cell r="AD47" t="str">
            <v>Silver</v>
          </cell>
          <cell r="AE47" t="str">
            <v>Male</v>
          </cell>
          <cell r="AF47">
            <v>290.4082191780825</v>
          </cell>
        </row>
        <row r="48">
          <cell r="N48" t="str">
            <v>22BronzeFemale</v>
          </cell>
          <cell r="O48">
            <v>22</v>
          </cell>
          <cell r="P48" t="str">
            <v>Bronze</v>
          </cell>
          <cell r="Q48" t="str">
            <v>Female</v>
          </cell>
          <cell r="R48">
            <v>0</v>
          </cell>
          <cell r="U48" t="str">
            <v>25GoldMale</v>
          </cell>
          <cell r="V48">
            <v>25</v>
          </cell>
          <cell r="W48" t="str">
            <v>Gold</v>
          </cell>
          <cell r="X48" t="str">
            <v>Male</v>
          </cell>
          <cell r="Y48">
            <v>0.50410958904109593</v>
          </cell>
          <cell r="AB48" t="str">
            <v>5BasicFemale</v>
          </cell>
          <cell r="AC48">
            <v>5</v>
          </cell>
          <cell r="AD48" t="str">
            <v>Basic</v>
          </cell>
          <cell r="AE48" t="str">
            <v>Female</v>
          </cell>
          <cell r="AF48">
            <v>92.293150684931504</v>
          </cell>
        </row>
        <row r="49">
          <cell r="N49" t="str">
            <v>22GoldFemale</v>
          </cell>
          <cell r="O49">
            <v>22</v>
          </cell>
          <cell r="P49" t="str">
            <v>Gold</v>
          </cell>
          <cell r="Q49" t="str">
            <v>Female</v>
          </cell>
          <cell r="R49">
            <v>6.3561643835616444</v>
          </cell>
          <cell r="U49" t="str">
            <v>25SilverFemale</v>
          </cell>
          <cell r="V49">
            <v>25</v>
          </cell>
          <cell r="W49" t="str">
            <v>Silver</v>
          </cell>
          <cell r="X49" t="str">
            <v>Female</v>
          </cell>
          <cell r="Y49">
            <v>102.72054794520545</v>
          </cell>
          <cell r="AB49" t="str">
            <v>5BasicMale</v>
          </cell>
          <cell r="AC49">
            <v>5</v>
          </cell>
          <cell r="AD49" t="str">
            <v>Basic</v>
          </cell>
          <cell r="AE49" t="str">
            <v>Male</v>
          </cell>
          <cell r="AF49">
            <v>94.126708585972068</v>
          </cell>
        </row>
        <row r="50">
          <cell r="N50" t="str">
            <v>22GoldMale</v>
          </cell>
          <cell r="O50">
            <v>22</v>
          </cell>
          <cell r="P50" t="str">
            <v>Gold</v>
          </cell>
          <cell r="Q50" t="str">
            <v>Male</v>
          </cell>
          <cell r="R50">
            <v>30.824657534246573</v>
          </cell>
          <cell r="U50" t="str">
            <v>25SilverMale</v>
          </cell>
          <cell r="V50">
            <v>25</v>
          </cell>
          <cell r="W50" t="str">
            <v>Silver</v>
          </cell>
          <cell r="X50" t="str">
            <v>Male</v>
          </cell>
          <cell r="Y50">
            <v>4.9479452054794519</v>
          </cell>
          <cell r="AB50" t="str">
            <v>5BronzeFemale</v>
          </cell>
          <cell r="AC50">
            <v>5</v>
          </cell>
          <cell r="AD50" t="str">
            <v>Bronze</v>
          </cell>
          <cell r="AE50" t="str">
            <v>Female</v>
          </cell>
          <cell r="AF50">
            <v>0</v>
          </cell>
        </row>
        <row r="51">
          <cell r="N51" t="str">
            <v>22SilverFemale</v>
          </cell>
          <cell r="O51">
            <v>22</v>
          </cell>
          <cell r="P51" t="str">
            <v>Silver</v>
          </cell>
          <cell r="Q51" t="str">
            <v>Female</v>
          </cell>
          <cell r="R51">
            <v>4.7698630136986298</v>
          </cell>
          <cell r="U51" t="str">
            <v>26BasicFemale</v>
          </cell>
          <cell r="V51">
            <v>26</v>
          </cell>
          <cell r="W51" t="str">
            <v>Basic</v>
          </cell>
          <cell r="X51" t="str">
            <v>Female</v>
          </cell>
          <cell r="Y51">
            <v>55.652054794520531</v>
          </cell>
          <cell r="AB51" t="str">
            <v>5BronzeMale</v>
          </cell>
          <cell r="AC51">
            <v>5</v>
          </cell>
          <cell r="AD51" t="str">
            <v>Bronze</v>
          </cell>
          <cell r="AE51" t="str">
            <v>Male</v>
          </cell>
          <cell r="AF51">
            <v>0</v>
          </cell>
        </row>
        <row r="52">
          <cell r="N52" t="str">
            <v>22SilverMale</v>
          </cell>
          <cell r="O52">
            <v>22</v>
          </cell>
          <cell r="P52" t="str">
            <v>Silver</v>
          </cell>
          <cell r="Q52" t="str">
            <v>Male</v>
          </cell>
          <cell r="R52">
            <v>64.868493150684998</v>
          </cell>
          <cell r="U52" t="str">
            <v>26BasicMale</v>
          </cell>
          <cell r="V52">
            <v>26</v>
          </cell>
          <cell r="W52" t="str">
            <v>Basic</v>
          </cell>
          <cell r="X52" t="str">
            <v>Male</v>
          </cell>
          <cell r="Y52">
            <v>2.3506849315068497</v>
          </cell>
          <cell r="AB52" t="str">
            <v>5GoldFemale</v>
          </cell>
          <cell r="AC52">
            <v>5</v>
          </cell>
          <cell r="AD52" t="str">
            <v>Gold</v>
          </cell>
          <cell r="AE52" t="str">
            <v>Female</v>
          </cell>
          <cell r="AF52">
            <v>359.08907852384073</v>
          </cell>
        </row>
        <row r="53">
          <cell r="N53" t="str">
            <v>23BasicFemale</v>
          </cell>
          <cell r="O53">
            <v>23</v>
          </cell>
          <cell r="P53" t="str">
            <v>Basic</v>
          </cell>
          <cell r="Q53" t="str">
            <v>Female</v>
          </cell>
          <cell r="R53">
            <v>26.032876712328765</v>
          </cell>
          <cell r="U53" t="str">
            <v>26BronzeFemale</v>
          </cell>
          <cell r="V53">
            <v>26</v>
          </cell>
          <cell r="W53" t="str">
            <v>Bronze</v>
          </cell>
          <cell r="X53" t="str">
            <v>Female</v>
          </cell>
          <cell r="Y53">
            <v>0</v>
          </cell>
          <cell r="AB53" t="str">
            <v>5GoldMale</v>
          </cell>
          <cell r="AC53">
            <v>5</v>
          </cell>
          <cell r="AD53" t="str">
            <v>Gold</v>
          </cell>
          <cell r="AE53" t="str">
            <v>Male</v>
          </cell>
          <cell r="AF53">
            <v>365.18451979938521</v>
          </cell>
        </row>
        <row r="54">
          <cell r="N54" t="str">
            <v>23BasicMale</v>
          </cell>
          <cell r="O54">
            <v>23</v>
          </cell>
          <cell r="P54" t="str">
            <v>Basic</v>
          </cell>
          <cell r="Q54" t="str">
            <v>Male</v>
          </cell>
          <cell r="R54">
            <v>32.087671232876716</v>
          </cell>
          <cell r="U54" t="str">
            <v>26BronzeMale</v>
          </cell>
          <cell r="V54">
            <v>26</v>
          </cell>
          <cell r="W54" t="str">
            <v>Bronze</v>
          </cell>
          <cell r="X54" t="str">
            <v>Male</v>
          </cell>
          <cell r="Y54">
            <v>0</v>
          </cell>
          <cell r="AB54" t="str">
            <v>5GoldUnknown</v>
          </cell>
          <cell r="AC54">
            <v>5</v>
          </cell>
          <cell r="AD54" t="str">
            <v>Gold</v>
          </cell>
          <cell r="AE54" t="str">
            <v>Unknown</v>
          </cell>
          <cell r="AF54">
            <v>0.84290740324874613</v>
          </cell>
        </row>
        <row r="55">
          <cell r="N55" t="str">
            <v>23BronzeFemale</v>
          </cell>
          <cell r="O55">
            <v>23</v>
          </cell>
          <cell r="P55" t="str">
            <v>Bronze</v>
          </cell>
          <cell r="Q55" t="str">
            <v>Female</v>
          </cell>
          <cell r="R55">
            <v>0</v>
          </cell>
          <cell r="U55" t="str">
            <v>26GoldFemale</v>
          </cell>
          <cell r="V55">
            <v>26</v>
          </cell>
          <cell r="W55" t="str">
            <v>Gold</v>
          </cell>
          <cell r="X55" t="str">
            <v>Female</v>
          </cell>
          <cell r="Y55">
            <v>129.05075230181905</v>
          </cell>
          <cell r="AB55" t="str">
            <v>5SilverFemale</v>
          </cell>
          <cell r="AC55">
            <v>5</v>
          </cell>
          <cell r="AD55" t="str">
            <v>Silver</v>
          </cell>
          <cell r="AE55" t="str">
            <v>Female</v>
          </cell>
          <cell r="AF55">
            <v>285.44657534246608</v>
          </cell>
        </row>
        <row r="56">
          <cell r="N56" t="str">
            <v>23BronzeMale</v>
          </cell>
          <cell r="O56">
            <v>23</v>
          </cell>
          <cell r="P56" t="str">
            <v>Bronze</v>
          </cell>
          <cell r="Q56" t="str">
            <v>Male</v>
          </cell>
          <cell r="R56">
            <v>0</v>
          </cell>
          <cell r="U56" t="str">
            <v>26GoldMale</v>
          </cell>
          <cell r="V56">
            <v>26</v>
          </cell>
          <cell r="W56" t="str">
            <v>Gold</v>
          </cell>
          <cell r="X56" t="str">
            <v>Male</v>
          </cell>
          <cell r="Y56">
            <v>3.0796766225016845</v>
          </cell>
          <cell r="AB56" t="str">
            <v>5SilverMale</v>
          </cell>
          <cell r="AC56">
            <v>5</v>
          </cell>
          <cell r="AD56" t="str">
            <v>Silver</v>
          </cell>
          <cell r="AE56" t="str">
            <v>Male</v>
          </cell>
          <cell r="AF56">
            <v>289.78630136986328</v>
          </cell>
        </row>
        <row r="57">
          <cell r="N57" t="str">
            <v>23GoldFemale</v>
          </cell>
          <cell r="O57">
            <v>23</v>
          </cell>
          <cell r="P57" t="str">
            <v>Gold</v>
          </cell>
          <cell r="Q57" t="str">
            <v>Female</v>
          </cell>
          <cell r="R57">
            <v>15.241784564712928</v>
          </cell>
          <cell r="U57" t="str">
            <v>26SilverFemale</v>
          </cell>
          <cell r="V57">
            <v>26</v>
          </cell>
          <cell r="W57" t="str">
            <v>Silver</v>
          </cell>
          <cell r="X57" t="str">
            <v>Female</v>
          </cell>
          <cell r="Y57">
            <v>124.32876712328772</v>
          </cell>
          <cell r="AB57" t="str">
            <v>6BasicFemale</v>
          </cell>
          <cell r="AC57">
            <v>6</v>
          </cell>
          <cell r="AD57" t="str">
            <v>Basic</v>
          </cell>
          <cell r="AE57" t="str">
            <v>Female</v>
          </cell>
          <cell r="AF57">
            <v>93.410958904109663</v>
          </cell>
        </row>
        <row r="58">
          <cell r="N58" t="str">
            <v>23GoldMale</v>
          </cell>
          <cell r="O58">
            <v>23</v>
          </cell>
          <cell r="P58" t="str">
            <v>Gold</v>
          </cell>
          <cell r="Q58" t="str">
            <v>Male</v>
          </cell>
          <cell r="R58">
            <v>60.368725203982351</v>
          </cell>
          <cell r="U58" t="str">
            <v>26SilverMale</v>
          </cell>
          <cell r="V58">
            <v>26</v>
          </cell>
          <cell r="W58" t="str">
            <v>Silver</v>
          </cell>
          <cell r="X58" t="str">
            <v>Male</v>
          </cell>
          <cell r="Y58">
            <v>5.0054794520547947</v>
          </cell>
          <cell r="AB58" t="str">
            <v>6BasicMale</v>
          </cell>
          <cell r="AC58">
            <v>6</v>
          </cell>
          <cell r="AD58" t="str">
            <v>Basic</v>
          </cell>
          <cell r="AE58" t="str">
            <v>Male</v>
          </cell>
          <cell r="AF58">
            <v>100.25812560820428</v>
          </cell>
        </row>
        <row r="59">
          <cell r="N59" t="str">
            <v>23SilverFemale</v>
          </cell>
          <cell r="O59">
            <v>23</v>
          </cell>
          <cell r="P59" t="str">
            <v>Silver</v>
          </cell>
          <cell r="Q59" t="str">
            <v>Female</v>
          </cell>
          <cell r="R59">
            <v>24.621917808219177</v>
          </cell>
          <cell r="U59" t="str">
            <v>27BasicFemale</v>
          </cell>
          <cell r="V59">
            <v>27</v>
          </cell>
          <cell r="W59" t="str">
            <v>Basic</v>
          </cell>
          <cell r="X59" t="str">
            <v>Female</v>
          </cell>
          <cell r="Y59">
            <v>48.764383561643811</v>
          </cell>
          <cell r="AB59" t="str">
            <v>6BronzeFemale</v>
          </cell>
          <cell r="AC59">
            <v>6</v>
          </cell>
          <cell r="AD59" t="str">
            <v>Bronze</v>
          </cell>
          <cell r="AE59" t="str">
            <v>Female</v>
          </cell>
          <cell r="AF59">
            <v>0</v>
          </cell>
        </row>
        <row r="60">
          <cell r="N60" t="str">
            <v>23SilverMale</v>
          </cell>
          <cell r="O60">
            <v>23</v>
          </cell>
          <cell r="P60" t="str">
            <v>Silver</v>
          </cell>
          <cell r="Q60" t="str">
            <v>Male</v>
          </cell>
          <cell r="R60">
            <v>94.284931506849276</v>
          </cell>
          <cell r="U60" t="str">
            <v>27BasicMale</v>
          </cell>
          <cell r="V60">
            <v>27</v>
          </cell>
          <cell r="W60" t="str">
            <v>Basic</v>
          </cell>
          <cell r="X60" t="str">
            <v>Male</v>
          </cell>
          <cell r="Y60">
            <v>2.6657534246575345</v>
          </cell>
          <cell r="AB60" t="str">
            <v>6BronzeMale</v>
          </cell>
          <cell r="AC60">
            <v>6</v>
          </cell>
          <cell r="AD60" t="str">
            <v>Bronze</v>
          </cell>
          <cell r="AE60" t="str">
            <v>Male</v>
          </cell>
          <cell r="AF60">
            <v>0</v>
          </cell>
        </row>
        <row r="61">
          <cell r="N61" t="str">
            <v>24BasicFemale</v>
          </cell>
          <cell r="O61">
            <v>24</v>
          </cell>
          <cell r="P61" t="str">
            <v>Basic</v>
          </cell>
          <cell r="Q61" t="str">
            <v>Female</v>
          </cell>
          <cell r="R61">
            <v>35.389041095890406</v>
          </cell>
          <cell r="U61" t="str">
            <v>27BronzeFemale</v>
          </cell>
          <cell r="V61">
            <v>27</v>
          </cell>
          <cell r="W61" t="str">
            <v>Bronze</v>
          </cell>
          <cell r="X61" t="str">
            <v>Female</v>
          </cell>
          <cell r="Y61">
            <v>0</v>
          </cell>
          <cell r="AB61" t="str">
            <v>6GoldFemale</v>
          </cell>
          <cell r="AC61">
            <v>6</v>
          </cell>
          <cell r="AD61" t="str">
            <v>Gold</v>
          </cell>
          <cell r="AE61" t="str">
            <v>Female</v>
          </cell>
          <cell r="AF61">
            <v>340.4772138633125</v>
          </cell>
        </row>
        <row r="62">
          <cell r="N62" t="str">
            <v>24BasicMale</v>
          </cell>
          <cell r="O62">
            <v>24</v>
          </cell>
          <cell r="P62" t="str">
            <v>Basic</v>
          </cell>
          <cell r="Q62" t="str">
            <v>Male</v>
          </cell>
          <cell r="R62">
            <v>63.454794520547964</v>
          </cell>
          <cell r="U62" t="str">
            <v>27BronzeMale</v>
          </cell>
          <cell r="V62">
            <v>27</v>
          </cell>
          <cell r="W62" t="str">
            <v>Bronze</v>
          </cell>
          <cell r="X62" t="str">
            <v>Male</v>
          </cell>
          <cell r="Y62">
            <v>0</v>
          </cell>
          <cell r="AB62" t="str">
            <v>6GoldMale</v>
          </cell>
          <cell r="AC62">
            <v>6</v>
          </cell>
          <cell r="AD62" t="str">
            <v>Gold</v>
          </cell>
          <cell r="AE62" t="str">
            <v>Male</v>
          </cell>
          <cell r="AF62">
            <v>341.07606856800584</v>
          </cell>
        </row>
        <row r="63">
          <cell r="N63" t="str">
            <v>24BronzeFemale</v>
          </cell>
          <cell r="O63">
            <v>24</v>
          </cell>
          <cell r="P63" t="str">
            <v>Bronze</v>
          </cell>
          <cell r="Q63" t="str">
            <v>Female</v>
          </cell>
          <cell r="R63">
            <v>0</v>
          </cell>
          <cell r="U63" t="str">
            <v>27GoldFemale</v>
          </cell>
          <cell r="V63">
            <v>27</v>
          </cell>
          <cell r="W63" t="str">
            <v>Gold</v>
          </cell>
          <cell r="X63" t="str">
            <v>Female</v>
          </cell>
          <cell r="Y63">
            <v>160.41532300321887</v>
          </cell>
          <cell r="AB63" t="str">
            <v>6GoldUnknown</v>
          </cell>
          <cell r="AC63">
            <v>6</v>
          </cell>
          <cell r="AD63" t="str">
            <v>Gold</v>
          </cell>
          <cell r="AE63" t="str">
            <v>Unknown</v>
          </cell>
          <cell r="AF63">
            <v>1.3387978142076502</v>
          </cell>
        </row>
        <row r="64">
          <cell r="N64" t="str">
            <v>24BronzeMale</v>
          </cell>
          <cell r="O64">
            <v>24</v>
          </cell>
          <cell r="P64" t="str">
            <v>Bronze</v>
          </cell>
          <cell r="Q64" t="str">
            <v>Male</v>
          </cell>
          <cell r="R64">
            <v>0</v>
          </cell>
          <cell r="U64" t="str">
            <v>27GoldMale</v>
          </cell>
          <cell r="V64">
            <v>27</v>
          </cell>
          <cell r="W64" t="str">
            <v>Gold</v>
          </cell>
          <cell r="X64" t="str">
            <v>Male</v>
          </cell>
          <cell r="Y64">
            <v>4.915300546448087</v>
          </cell>
          <cell r="AB64" t="str">
            <v>6SilverFemale</v>
          </cell>
          <cell r="AC64">
            <v>6</v>
          </cell>
          <cell r="AD64" t="str">
            <v>Silver</v>
          </cell>
          <cell r="AE64" t="str">
            <v>Female</v>
          </cell>
          <cell r="AF64">
            <v>326.94794520547998</v>
          </cell>
        </row>
        <row r="65">
          <cell r="N65" t="str">
            <v>24GoldFemale</v>
          </cell>
          <cell r="O65">
            <v>24</v>
          </cell>
          <cell r="P65" t="str">
            <v>Gold</v>
          </cell>
          <cell r="Q65" t="str">
            <v>Female</v>
          </cell>
          <cell r="R65">
            <v>35.361875888913843</v>
          </cell>
          <cell r="U65" t="str">
            <v>27SilverFemale</v>
          </cell>
          <cell r="V65">
            <v>27</v>
          </cell>
          <cell r="W65" t="str">
            <v>Silver</v>
          </cell>
          <cell r="X65" t="str">
            <v>Female</v>
          </cell>
          <cell r="Y65">
            <v>128.87945205479457</v>
          </cell>
          <cell r="AB65" t="str">
            <v>6SilverMale</v>
          </cell>
          <cell r="AC65">
            <v>6</v>
          </cell>
          <cell r="AD65" t="str">
            <v>Silver</v>
          </cell>
          <cell r="AE65" t="str">
            <v>Male</v>
          </cell>
          <cell r="AF65">
            <v>273.53972602739765</v>
          </cell>
        </row>
        <row r="66">
          <cell r="N66" t="str">
            <v>24GoldMale</v>
          </cell>
          <cell r="O66">
            <v>24</v>
          </cell>
          <cell r="P66" t="str">
            <v>Gold</v>
          </cell>
          <cell r="Q66" t="str">
            <v>Male</v>
          </cell>
          <cell r="R66">
            <v>91.918032786885249</v>
          </cell>
          <cell r="U66" t="str">
            <v>27SilverMale</v>
          </cell>
          <cell r="V66">
            <v>27</v>
          </cell>
          <cell r="W66" t="str">
            <v>Silver</v>
          </cell>
          <cell r="X66" t="str">
            <v>Male</v>
          </cell>
          <cell r="Y66">
            <v>9.3534246575342461</v>
          </cell>
          <cell r="AB66" t="str">
            <v>7BasicFemale</v>
          </cell>
          <cell r="AC66">
            <v>7</v>
          </cell>
          <cell r="AD66" t="str">
            <v>Basic</v>
          </cell>
          <cell r="AE66" t="str">
            <v>Female</v>
          </cell>
          <cell r="AF66">
            <v>80.484931506849321</v>
          </cell>
        </row>
        <row r="67">
          <cell r="N67" t="str">
            <v>24SilverFemale</v>
          </cell>
          <cell r="O67">
            <v>24</v>
          </cell>
          <cell r="P67" t="str">
            <v>Silver</v>
          </cell>
          <cell r="Q67" t="str">
            <v>Female</v>
          </cell>
          <cell r="R67">
            <v>24.008219178082189</v>
          </cell>
          <cell r="U67" t="str">
            <v>28BasicFemale</v>
          </cell>
          <cell r="V67">
            <v>28</v>
          </cell>
          <cell r="W67" t="str">
            <v>Basic</v>
          </cell>
          <cell r="X67" t="str">
            <v>Female</v>
          </cell>
          <cell r="Y67">
            <v>56.923287671232842</v>
          </cell>
          <cell r="AB67" t="str">
            <v>7BasicMale</v>
          </cell>
          <cell r="AC67">
            <v>7</v>
          </cell>
          <cell r="AD67" t="str">
            <v>Basic</v>
          </cell>
          <cell r="AE67" t="str">
            <v>Male</v>
          </cell>
          <cell r="AF67">
            <v>85.34246575342469</v>
          </cell>
        </row>
        <row r="68">
          <cell r="N68" t="str">
            <v>24SilverMale</v>
          </cell>
          <cell r="O68">
            <v>24</v>
          </cell>
          <cell r="P68" t="str">
            <v>Silver</v>
          </cell>
          <cell r="Q68" t="str">
            <v>Male</v>
          </cell>
          <cell r="R68">
            <v>142.61095890410942</v>
          </cell>
          <cell r="U68" t="str">
            <v>28BasicMale</v>
          </cell>
          <cell r="V68">
            <v>28</v>
          </cell>
          <cell r="W68" t="str">
            <v>Basic</v>
          </cell>
          <cell r="X68" t="str">
            <v>Male</v>
          </cell>
          <cell r="Y68">
            <v>6.7917808219178086</v>
          </cell>
          <cell r="AB68" t="str">
            <v>7BronzeFemale</v>
          </cell>
          <cell r="AC68">
            <v>7</v>
          </cell>
          <cell r="AD68" t="str">
            <v>Bronze</v>
          </cell>
          <cell r="AE68" t="str">
            <v>Female</v>
          </cell>
          <cell r="AF68">
            <v>0</v>
          </cell>
        </row>
        <row r="69">
          <cell r="N69" t="str">
            <v>25BasicFemale</v>
          </cell>
          <cell r="O69">
            <v>25</v>
          </cell>
          <cell r="P69" t="str">
            <v>Basic</v>
          </cell>
          <cell r="Q69" t="str">
            <v>Female</v>
          </cell>
          <cell r="R69">
            <v>45.29863013698629</v>
          </cell>
          <cell r="U69" t="str">
            <v>28BronzeFemale</v>
          </cell>
          <cell r="V69">
            <v>28</v>
          </cell>
          <cell r="W69" t="str">
            <v>Bronze</v>
          </cell>
          <cell r="X69" t="str">
            <v>Female</v>
          </cell>
          <cell r="Y69">
            <v>0</v>
          </cell>
          <cell r="AB69" t="str">
            <v>7BronzeMale</v>
          </cell>
          <cell r="AC69">
            <v>7</v>
          </cell>
          <cell r="AD69" t="str">
            <v>Bronze</v>
          </cell>
          <cell r="AE69" t="str">
            <v>Male</v>
          </cell>
          <cell r="AF69">
            <v>0</v>
          </cell>
        </row>
        <row r="70">
          <cell r="N70" t="str">
            <v>25BasicMale</v>
          </cell>
          <cell r="O70">
            <v>25</v>
          </cell>
          <cell r="P70" t="str">
            <v>Basic</v>
          </cell>
          <cell r="Q70" t="str">
            <v>Male</v>
          </cell>
          <cell r="R70">
            <v>83.323287671232904</v>
          </cell>
          <cell r="U70" t="str">
            <v>28BronzeMale</v>
          </cell>
          <cell r="V70">
            <v>28</v>
          </cell>
          <cell r="W70" t="str">
            <v>Bronze</v>
          </cell>
          <cell r="X70" t="str">
            <v>Male</v>
          </cell>
          <cell r="Y70">
            <v>0</v>
          </cell>
          <cell r="AB70" t="str">
            <v>7GoldFemale</v>
          </cell>
          <cell r="AC70">
            <v>7</v>
          </cell>
          <cell r="AD70" t="str">
            <v>Gold</v>
          </cell>
          <cell r="AE70" t="str">
            <v>Female</v>
          </cell>
          <cell r="AF70">
            <v>307.93335579010403</v>
          </cell>
        </row>
        <row r="71">
          <cell r="N71" t="str">
            <v>25BronzeFemale</v>
          </cell>
          <cell r="O71">
            <v>25</v>
          </cell>
          <cell r="P71" t="str">
            <v>Bronze</v>
          </cell>
          <cell r="Q71" t="str">
            <v>Female</v>
          </cell>
          <cell r="R71">
            <v>0</v>
          </cell>
          <cell r="U71" t="str">
            <v>28GoldFemale</v>
          </cell>
          <cell r="V71">
            <v>28</v>
          </cell>
          <cell r="W71" t="str">
            <v>Gold</v>
          </cell>
          <cell r="X71" t="str">
            <v>Female</v>
          </cell>
          <cell r="Y71">
            <v>176.80746313346819</v>
          </cell>
          <cell r="AB71" t="str">
            <v>7GoldMale</v>
          </cell>
          <cell r="AC71">
            <v>7</v>
          </cell>
          <cell r="AD71" t="str">
            <v>Gold</v>
          </cell>
          <cell r="AE71" t="str">
            <v>Male</v>
          </cell>
          <cell r="AF71">
            <v>331.62948573994964</v>
          </cell>
        </row>
        <row r="72">
          <cell r="N72" t="str">
            <v>25BronzeMale</v>
          </cell>
          <cell r="O72">
            <v>25</v>
          </cell>
          <cell r="P72" t="str">
            <v>Bronze</v>
          </cell>
          <cell r="Q72" t="str">
            <v>Male</v>
          </cell>
          <cell r="R72">
            <v>0</v>
          </cell>
          <cell r="U72" t="str">
            <v>28GoldMale</v>
          </cell>
          <cell r="V72">
            <v>28</v>
          </cell>
          <cell r="W72" t="str">
            <v>Gold</v>
          </cell>
          <cell r="X72" t="str">
            <v>Male</v>
          </cell>
          <cell r="Y72">
            <v>8.7506849315068482</v>
          </cell>
          <cell r="AB72" t="str">
            <v>7GoldUnknown</v>
          </cell>
          <cell r="AC72">
            <v>7</v>
          </cell>
          <cell r="AD72" t="str">
            <v>Gold</v>
          </cell>
          <cell r="AE72" t="str">
            <v>Unknown</v>
          </cell>
          <cell r="AF72">
            <v>2.1700875814057938</v>
          </cell>
        </row>
        <row r="73">
          <cell r="N73" t="str">
            <v>25GoldFemale</v>
          </cell>
          <cell r="O73">
            <v>25</v>
          </cell>
          <cell r="P73" t="str">
            <v>Gold</v>
          </cell>
          <cell r="Q73" t="str">
            <v>Female</v>
          </cell>
          <cell r="R73">
            <v>59.771015794595414</v>
          </cell>
          <cell r="U73" t="str">
            <v>28SilverFemale</v>
          </cell>
          <cell r="V73">
            <v>28</v>
          </cell>
          <cell r="W73" t="str">
            <v>Silver</v>
          </cell>
          <cell r="X73" t="str">
            <v>Female</v>
          </cell>
          <cell r="Y73">
            <v>166.56986301369861</v>
          </cell>
          <cell r="AB73" t="str">
            <v>7SilverFemale</v>
          </cell>
          <cell r="AC73">
            <v>7</v>
          </cell>
          <cell r="AD73" t="str">
            <v>Silver</v>
          </cell>
          <cell r="AE73" t="str">
            <v>Female</v>
          </cell>
          <cell r="AF73">
            <v>289.23013698630183</v>
          </cell>
        </row>
        <row r="74">
          <cell r="N74" t="str">
            <v>25GoldMale</v>
          </cell>
          <cell r="O74">
            <v>25</v>
          </cell>
          <cell r="P74" t="str">
            <v>Gold</v>
          </cell>
          <cell r="Q74" t="str">
            <v>Male</v>
          </cell>
          <cell r="R74">
            <v>140.1735309529156</v>
          </cell>
          <cell r="U74" t="str">
            <v>28SilverMale</v>
          </cell>
          <cell r="V74">
            <v>28</v>
          </cell>
          <cell r="W74" t="str">
            <v>Silver</v>
          </cell>
          <cell r="X74" t="str">
            <v>Male</v>
          </cell>
          <cell r="Y74">
            <v>11.756164383561645</v>
          </cell>
          <cell r="AB74" t="str">
            <v>7SilverMale</v>
          </cell>
          <cell r="AC74">
            <v>7</v>
          </cell>
          <cell r="AD74" t="str">
            <v>Silver</v>
          </cell>
          <cell r="AE74" t="str">
            <v>Male</v>
          </cell>
          <cell r="AF74">
            <v>244.87397260273983</v>
          </cell>
        </row>
        <row r="75">
          <cell r="N75" t="str">
            <v>25GoldUnknown</v>
          </cell>
          <cell r="O75">
            <v>25</v>
          </cell>
          <cell r="P75" t="str">
            <v>Gold</v>
          </cell>
          <cell r="Q75" t="str">
            <v>Unknown</v>
          </cell>
          <cell r="R75">
            <v>0</v>
          </cell>
          <cell r="U75" t="str">
            <v>29BasicFemale</v>
          </cell>
          <cell r="V75">
            <v>29</v>
          </cell>
          <cell r="W75" t="str">
            <v>Basic</v>
          </cell>
          <cell r="X75" t="str">
            <v>Female</v>
          </cell>
          <cell r="Y75">
            <v>60.331506849315026</v>
          </cell>
          <cell r="AB75" t="str">
            <v>8BasicFemale</v>
          </cell>
          <cell r="AC75">
            <v>8</v>
          </cell>
          <cell r="AD75" t="str">
            <v>Basic</v>
          </cell>
          <cell r="AE75" t="str">
            <v>Female</v>
          </cell>
          <cell r="AF75">
            <v>86.386301369863048</v>
          </cell>
        </row>
        <row r="76">
          <cell r="N76" t="str">
            <v>25SilverFemale</v>
          </cell>
          <cell r="O76">
            <v>25</v>
          </cell>
          <cell r="P76" t="str">
            <v>Silver</v>
          </cell>
          <cell r="Q76" t="str">
            <v>Female</v>
          </cell>
          <cell r="R76">
            <v>47.835616438356183</v>
          </cell>
          <cell r="U76" t="str">
            <v>29BasicMale</v>
          </cell>
          <cell r="V76">
            <v>29</v>
          </cell>
          <cell r="W76" t="str">
            <v>Basic</v>
          </cell>
          <cell r="X76" t="str">
            <v>Male</v>
          </cell>
          <cell r="Y76">
            <v>7.536986301369863</v>
          </cell>
          <cell r="AB76" t="str">
            <v>8BasicMale</v>
          </cell>
          <cell r="AC76">
            <v>8</v>
          </cell>
          <cell r="AD76" t="str">
            <v>Basic</v>
          </cell>
          <cell r="AE76" t="str">
            <v>Male</v>
          </cell>
          <cell r="AF76">
            <v>70.376023654465158</v>
          </cell>
        </row>
        <row r="77">
          <cell r="N77" t="str">
            <v>25SilverMale</v>
          </cell>
          <cell r="O77">
            <v>25</v>
          </cell>
          <cell r="P77" t="str">
            <v>Silver</v>
          </cell>
          <cell r="Q77" t="str">
            <v>Male</v>
          </cell>
          <cell r="R77">
            <v>188.6356164383559</v>
          </cell>
          <cell r="U77" t="str">
            <v>29BronzeFemale</v>
          </cell>
          <cell r="V77">
            <v>29</v>
          </cell>
          <cell r="W77" t="str">
            <v>Bronze</v>
          </cell>
          <cell r="X77" t="str">
            <v>Female</v>
          </cell>
          <cell r="Y77">
            <v>0</v>
          </cell>
          <cell r="AB77" t="str">
            <v>8BronzeFemale</v>
          </cell>
          <cell r="AC77">
            <v>8</v>
          </cell>
          <cell r="AD77" t="str">
            <v>Bronze</v>
          </cell>
          <cell r="AE77" t="str">
            <v>Female</v>
          </cell>
          <cell r="AF77">
            <v>0</v>
          </cell>
        </row>
        <row r="78">
          <cell r="N78" t="str">
            <v>26BasicFemale</v>
          </cell>
          <cell r="O78">
            <v>26</v>
          </cell>
          <cell r="P78" t="str">
            <v>Basic</v>
          </cell>
          <cell r="Q78" t="str">
            <v>Female</v>
          </cell>
          <cell r="R78">
            <v>67.707702672355751</v>
          </cell>
          <cell r="U78" t="str">
            <v>29BronzeMale</v>
          </cell>
          <cell r="V78">
            <v>29</v>
          </cell>
          <cell r="W78" t="str">
            <v>Bronze</v>
          </cell>
          <cell r="X78" t="str">
            <v>Male</v>
          </cell>
          <cell r="Y78">
            <v>0</v>
          </cell>
          <cell r="AB78" t="str">
            <v>8BronzeMale</v>
          </cell>
          <cell r="AC78">
            <v>8</v>
          </cell>
          <cell r="AD78" t="str">
            <v>Bronze</v>
          </cell>
          <cell r="AE78" t="str">
            <v>Male</v>
          </cell>
          <cell r="AF78">
            <v>0</v>
          </cell>
        </row>
        <row r="79">
          <cell r="N79" t="str">
            <v>26BasicMale</v>
          </cell>
          <cell r="O79">
            <v>26</v>
          </cell>
          <cell r="P79" t="str">
            <v>Basic</v>
          </cell>
          <cell r="Q79" t="str">
            <v>Male</v>
          </cell>
          <cell r="R79">
            <v>114.56164383561648</v>
          </cell>
          <cell r="U79" t="str">
            <v>29GoldFemale</v>
          </cell>
          <cell r="V79">
            <v>29</v>
          </cell>
          <cell r="W79" t="str">
            <v>Gold</v>
          </cell>
          <cell r="X79" t="str">
            <v>Female</v>
          </cell>
          <cell r="Y79">
            <v>180.40232053297404</v>
          </cell>
          <cell r="AB79" t="str">
            <v>8GoldFemale</v>
          </cell>
          <cell r="AC79">
            <v>8</v>
          </cell>
          <cell r="AD79" t="str">
            <v>Gold</v>
          </cell>
          <cell r="AE79" t="str">
            <v>Female</v>
          </cell>
          <cell r="AF79">
            <v>320.97445916610468</v>
          </cell>
        </row>
        <row r="80">
          <cell r="N80" t="str">
            <v>26BronzeFemale</v>
          </cell>
          <cell r="O80">
            <v>26</v>
          </cell>
          <cell r="P80" t="str">
            <v>Bronze</v>
          </cell>
          <cell r="Q80" t="str">
            <v>Female</v>
          </cell>
          <cell r="R80">
            <v>0</v>
          </cell>
          <cell r="U80" t="str">
            <v>29GoldMale</v>
          </cell>
          <cell r="V80">
            <v>29</v>
          </cell>
          <cell r="W80" t="str">
            <v>Gold</v>
          </cell>
          <cell r="X80" t="str">
            <v>Male</v>
          </cell>
          <cell r="Y80">
            <v>10.801145295306535</v>
          </cell>
          <cell r="AB80" t="str">
            <v>8GoldMale</v>
          </cell>
          <cell r="AC80">
            <v>8</v>
          </cell>
          <cell r="AD80" t="str">
            <v>Gold</v>
          </cell>
          <cell r="AE80" t="str">
            <v>Male</v>
          </cell>
          <cell r="AF80">
            <v>310.49134665768366</v>
          </cell>
        </row>
        <row r="81">
          <cell r="N81" t="str">
            <v>26BronzeMale</v>
          </cell>
          <cell r="O81">
            <v>26</v>
          </cell>
          <cell r="P81" t="str">
            <v>Bronze</v>
          </cell>
          <cell r="Q81" t="str">
            <v>Male</v>
          </cell>
          <cell r="R81">
            <v>0</v>
          </cell>
          <cell r="U81" t="str">
            <v>29SilverFemale</v>
          </cell>
          <cell r="V81">
            <v>29</v>
          </cell>
          <cell r="W81" t="str">
            <v>Silver</v>
          </cell>
          <cell r="X81" t="str">
            <v>Female</v>
          </cell>
          <cell r="Y81">
            <v>147.8794520547944</v>
          </cell>
          <cell r="AB81" t="str">
            <v>8GoldUnknown</v>
          </cell>
          <cell r="AC81">
            <v>8</v>
          </cell>
          <cell r="AD81" t="str">
            <v>Gold</v>
          </cell>
          <cell r="AE81" t="str">
            <v>Unknown</v>
          </cell>
          <cell r="AF81">
            <v>1.1693989071038251</v>
          </cell>
        </row>
        <row r="82">
          <cell r="N82" t="str">
            <v>26GoldFemale</v>
          </cell>
          <cell r="O82">
            <v>26</v>
          </cell>
          <cell r="P82" t="str">
            <v>Gold</v>
          </cell>
          <cell r="Q82" t="str">
            <v>Female</v>
          </cell>
          <cell r="R82">
            <v>72.507762557077626</v>
          </cell>
          <cell r="U82" t="str">
            <v>29SilverMale</v>
          </cell>
          <cell r="V82">
            <v>29</v>
          </cell>
          <cell r="W82" t="str">
            <v>Silver</v>
          </cell>
          <cell r="X82" t="str">
            <v>Male</v>
          </cell>
          <cell r="Y82">
            <v>19.150684931506849</v>
          </cell>
          <cell r="AB82" t="str">
            <v>8SilverFemale</v>
          </cell>
          <cell r="AC82">
            <v>8</v>
          </cell>
          <cell r="AD82" t="str">
            <v>Silver</v>
          </cell>
          <cell r="AE82" t="str">
            <v>Female</v>
          </cell>
          <cell r="AF82">
            <v>247.83287671232895</v>
          </cell>
        </row>
        <row r="83">
          <cell r="N83" t="str">
            <v>26GoldMale</v>
          </cell>
          <cell r="O83">
            <v>26</v>
          </cell>
          <cell r="P83" t="str">
            <v>Gold</v>
          </cell>
          <cell r="Q83" t="str">
            <v>Male</v>
          </cell>
          <cell r="R83">
            <v>212.38061980687178</v>
          </cell>
          <cell r="U83" t="str">
            <v>30BasicFemale</v>
          </cell>
          <cell r="V83">
            <v>30</v>
          </cell>
          <cell r="W83" t="str">
            <v>Basic</v>
          </cell>
          <cell r="X83" t="str">
            <v>Female</v>
          </cell>
          <cell r="Y83">
            <v>50.980821917808186</v>
          </cell>
          <cell r="AB83" t="str">
            <v>8SilverMale</v>
          </cell>
          <cell r="AC83">
            <v>8</v>
          </cell>
          <cell r="AD83" t="str">
            <v>Silver</v>
          </cell>
          <cell r="AE83" t="str">
            <v>Male</v>
          </cell>
          <cell r="AF83">
            <v>252.56712328767142</v>
          </cell>
        </row>
        <row r="84">
          <cell r="N84" t="str">
            <v>26SilverFemale</v>
          </cell>
          <cell r="O84">
            <v>26</v>
          </cell>
          <cell r="P84" t="str">
            <v>Silver</v>
          </cell>
          <cell r="Q84" t="str">
            <v>Female</v>
          </cell>
          <cell r="R84">
            <v>64.586301369863037</v>
          </cell>
          <cell r="U84" t="str">
            <v>30BasicMale</v>
          </cell>
          <cell r="V84">
            <v>30</v>
          </cell>
          <cell r="W84" t="str">
            <v>Basic</v>
          </cell>
          <cell r="X84" t="str">
            <v>Male</v>
          </cell>
          <cell r="Y84">
            <v>6.419178082191781</v>
          </cell>
          <cell r="AB84" t="str">
            <v>9BasicFemale</v>
          </cell>
          <cell r="AC84">
            <v>9</v>
          </cell>
          <cell r="AD84" t="str">
            <v>Basic</v>
          </cell>
          <cell r="AE84" t="str">
            <v>Female</v>
          </cell>
          <cell r="AF84">
            <v>61.553424657534237</v>
          </cell>
        </row>
        <row r="85">
          <cell r="N85" t="str">
            <v>26SilverMale</v>
          </cell>
          <cell r="O85">
            <v>26</v>
          </cell>
          <cell r="P85" t="str">
            <v>Silver</v>
          </cell>
          <cell r="Q85" t="str">
            <v>Male</v>
          </cell>
          <cell r="R85">
            <v>231.27397260273952</v>
          </cell>
          <cell r="U85" t="str">
            <v>30BronzeFemale</v>
          </cell>
          <cell r="V85">
            <v>30</v>
          </cell>
          <cell r="W85" t="str">
            <v>Bronze</v>
          </cell>
          <cell r="X85" t="str">
            <v>Female</v>
          </cell>
          <cell r="Y85">
            <v>0</v>
          </cell>
          <cell r="AB85" t="str">
            <v>9BasicMale</v>
          </cell>
          <cell r="AC85">
            <v>9</v>
          </cell>
          <cell r="AD85" t="str">
            <v>Basic</v>
          </cell>
          <cell r="AE85" t="str">
            <v>Male</v>
          </cell>
          <cell r="AF85">
            <v>57.893150684931484</v>
          </cell>
        </row>
        <row r="86">
          <cell r="N86" t="str">
            <v>27BasicFemale</v>
          </cell>
          <cell r="O86">
            <v>27</v>
          </cell>
          <cell r="P86" t="str">
            <v>Basic</v>
          </cell>
          <cell r="Q86" t="str">
            <v>Female</v>
          </cell>
          <cell r="R86">
            <v>78.350684931506862</v>
          </cell>
          <cell r="U86" t="str">
            <v>30BronzeMale</v>
          </cell>
          <cell r="V86">
            <v>30</v>
          </cell>
          <cell r="W86" t="str">
            <v>Bronze</v>
          </cell>
          <cell r="X86" t="str">
            <v>Male</v>
          </cell>
          <cell r="Y86">
            <v>0</v>
          </cell>
          <cell r="AB86" t="str">
            <v>9BronzeFemale</v>
          </cell>
          <cell r="AC86">
            <v>9</v>
          </cell>
          <cell r="AD86" t="str">
            <v>Bronze</v>
          </cell>
          <cell r="AE86" t="str">
            <v>Female</v>
          </cell>
          <cell r="AF86">
            <v>0</v>
          </cell>
        </row>
        <row r="87">
          <cell r="N87" t="str">
            <v>27BasicMale</v>
          </cell>
          <cell r="O87">
            <v>27</v>
          </cell>
          <cell r="P87" t="str">
            <v>Basic</v>
          </cell>
          <cell r="Q87" t="str">
            <v>Male</v>
          </cell>
          <cell r="R87">
            <v>152.90684931506854</v>
          </cell>
          <cell r="U87" t="str">
            <v>30GoldFemale</v>
          </cell>
          <cell r="V87">
            <v>30</v>
          </cell>
          <cell r="W87" t="str">
            <v>Gold</v>
          </cell>
          <cell r="X87" t="str">
            <v>Female</v>
          </cell>
          <cell r="Y87">
            <v>168.52613219552367</v>
          </cell>
          <cell r="AB87" t="str">
            <v>9BronzeMale</v>
          </cell>
          <cell r="AC87">
            <v>9</v>
          </cell>
          <cell r="AD87" t="str">
            <v>Bronze</v>
          </cell>
          <cell r="AE87" t="str">
            <v>Male</v>
          </cell>
          <cell r="AF87">
            <v>0</v>
          </cell>
        </row>
        <row r="88">
          <cell r="N88" t="str">
            <v>27BronzeFemale</v>
          </cell>
          <cell r="O88">
            <v>27</v>
          </cell>
          <cell r="P88" t="str">
            <v>Bronze</v>
          </cell>
          <cell r="Q88" t="str">
            <v>Female</v>
          </cell>
          <cell r="R88">
            <v>0</v>
          </cell>
          <cell r="U88" t="str">
            <v>30GoldMale</v>
          </cell>
          <cell r="V88">
            <v>30</v>
          </cell>
          <cell r="W88" t="str">
            <v>Gold</v>
          </cell>
          <cell r="X88" t="str">
            <v>Male</v>
          </cell>
          <cell r="Y88">
            <v>9.1479452054794521</v>
          </cell>
          <cell r="AB88" t="str">
            <v>9GoldFemale</v>
          </cell>
          <cell r="AC88">
            <v>9</v>
          </cell>
          <cell r="AD88" t="str">
            <v>Gold</v>
          </cell>
          <cell r="AE88" t="str">
            <v>Female</v>
          </cell>
          <cell r="AF88">
            <v>265.65891908076946</v>
          </cell>
        </row>
        <row r="89">
          <cell r="N89" t="str">
            <v>27BronzeMale</v>
          </cell>
          <cell r="O89">
            <v>27</v>
          </cell>
          <cell r="P89" t="str">
            <v>Bronze</v>
          </cell>
          <cell r="Q89" t="str">
            <v>Male</v>
          </cell>
          <cell r="R89">
            <v>0</v>
          </cell>
          <cell r="U89" t="str">
            <v>30SilverFemale</v>
          </cell>
          <cell r="V89">
            <v>30</v>
          </cell>
          <cell r="W89" t="str">
            <v>Silver</v>
          </cell>
          <cell r="X89" t="str">
            <v>Female</v>
          </cell>
          <cell r="Y89">
            <v>142.89589041095897</v>
          </cell>
          <cell r="AB89" t="str">
            <v>9GoldMale</v>
          </cell>
          <cell r="AC89">
            <v>9</v>
          </cell>
          <cell r="AD89" t="str">
            <v>Gold</v>
          </cell>
          <cell r="AE89" t="str">
            <v>Male</v>
          </cell>
          <cell r="AF89">
            <v>274.83084811737376</v>
          </cell>
        </row>
        <row r="90">
          <cell r="N90" t="str">
            <v>27GoldFemale</v>
          </cell>
          <cell r="O90">
            <v>27</v>
          </cell>
          <cell r="P90" t="str">
            <v>Gold</v>
          </cell>
          <cell r="Q90" t="str">
            <v>Female</v>
          </cell>
          <cell r="R90">
            <v>92.673321356388982</v>
          </cell>
          <cell r="U90" t="str">
            <v>30SilverMale</v>
          </cell>
          <cell r="V90">
            <v>30</v>
          </cell>
          <cell r="W90" t="str">
            <v>Silver</v>
          </cell>
          <cell r="X90" t="str">
            <v>Male</v>
          </cell>
          <cell r="Y90">
            <v>17.827397260273969</v>
          </cell>
          <cell r="AB90" t="str">
            <v>9SilverFemale</v>
          </cell>
          <cell r="AC90">
            <v>9</v>
          </cell>
          <cell r="AD90" t="str">
            <v>Silver</v>
          </cell>
          <cell r="AE90" t="str">
            <v>Female</v>
          </cell>
          <cell r="AF90">
            <v>236.69315068493165</v>
          </cell>
        </row>
        <row r="91">
          <cell r="N91" t="str">
            <v>27GoldMale</v>
          </cell>
          <cell r="O91">
            <v>27</v>
          </cell>
          <cell r="P91" t="str">
            <v>Gold</v>
          </cell>
          <cell r="Q91" t="str">
            <v>Male</v>
          </cell>
          <cell r="R91">
            <v>255.51074930758284</v>
          </cell>
          <cell r="U91" t="str">
            <v>31BasicFemale</v>
          </cell>
          <cell r="V91">
            <v>31</v>
          </cell>
          <cell r="W91" t="str">
            <v>Basic</v>
          </cell>
          <cell r="X91" t="str">
            <v>Female</v>
          </cell>
          <cell r="Y91">
            <v>54.939726027397242</v>
          </cell>
          <cell r="AB91" t="str">
            <v>9SilverMale</v>
          </cell>
          <cell r="AC91">
            <v>9</v>
          </cell>
          <cell r="AD91" t="str">
            <v>Silver</v>
          </cell>
          <cell r="AE91" t="str">
            <v>Male</v>
          </cell>
          <cell r="AF91">
            <v>255.96986301369893</v>
          </cell>
        </row>
        <row r="92">
          <cell r="N92" t="str">
            <v>27SilverFemale</v>
          </cell>
          <cell r="O92">
            <v>27</v>
          </cell>
          <cell r="P92" t="str">
            <v>Silver</v>
          </cell>
          <cell r="Q92" t="str">
            <v>Female</v>
          </cell>
          <cell r="R92">
            <v>60.600000000000009</v>
          </cell>
          <cell r="U92" t="str">
            <v>31BasicMale</v>
          </cell>
          <cell r="V92">
            <v>31</v>
          </cell>
          <cell r="W92" t="str">
            <v>Basic</v>
          </cell>
          <cell r="X92" t="str">
            <v>Male</v>
          </cell>
          <cell r="Y92">
            <v>7.131506849315068</v>
          </cell>
          <cell r="AB92" t="str">
            <v>10BasicFemale</v>
          </cell>
          <cell r="AC92">
            <v>10</v>
          </cell>
          <cell r="AD92" t="str">
            <v>Basic</v>
          </cell>
          <cell r="AE92" t="str">
            <v>Female</v>
          </cell>
          <cell r="AF92">
            <v>45.843835616438348</v>
          </cell>
        </row>
        <row r="93">
          <cell r="N93" t="str">
            <v>27SilverMale</v>
          </cell>
          <cell r="O93">
            <v>27</v>
          </cell>
          <cell r="P93" t="str">
            <v>Silver</v>
          </cell>
          <cell r="Q93" t="str">
            <v>Male</v>
          </cell>
          <cell r="R93">
            <v>306.26575342465839</v>
          </cell>
          <cell r="U93" t="str">
            <v>31BronzeFemale</v>
          </cell>
          <cell r="V93">
            <v>31</v>
          </cell>
          <cell r="W93" t="str">
            <v>Bronze</v>
          </cell>
          <cell r="X93" t="str">
            <v>Female</v>
          </cell>
          <cell r="Y93">
            <v>0</v>
          </cell>
          <cell r="AB93" t="str">
            <v>10BasicMale</v>
          </cell>
          <cell r="AC93">
            <v>10</v>
          </cell>
          <cell r="AD93" t="str">
            <v>Basic</v>
          </cell>
          <cell r="AE93" t="str">
            <v>Male</v>
          </cell>
          <cell r="AF93">
            <v>56.93218803802678</v>
          </cell>
        </row>
        <row r="94">
          <cell r="N94" t="str">
            <v>28BasicFemale</v>
          </cell>
          <cell r="O94">
            <v>28</v>
          </cell>
          <cell r="P94" t="str">
            <v>Basic</v>
          </cell>
          <cell r="Q94" t="str">
            <v>Female</v>
          </cell>
          <cell r="R94">
            <v>62.518736432367703</v>
          </cell>
          <cell r="U94" t="str">
            <v>31BronzeMale</v>
          </cell>
          <cell r="V94">
            <v>31</v>
          </cell>
          <cell r="W94" t="str">
            <v>Bronze</v>
          </cell>
          <cell r="X94" t="str">
            <v>Male</v>
          </cell>
          <cell r="Y94">
            <v>0</v>
          </cell>
          <cell r="AB94" t="str">
            <v>10BronzeFemale</v>
          </cell>
          <cell r="AC94">
            <v>10</v>
          </cell>
          <cell r="AD94" t="str">
            <v>Bronze</v>
          </cell>
          <cell r="AE94" t="str">
            <v>Female</v>
          </cell>
          <cell r="AF94">
            <v>0</v>
          </cell>
        </row>
        <row r="95">
          <cell r="N95" t="str">
            <v>28BasicMale</v>
          </cell>
          <cell r="O95">
            <v>28</v>
          </cell>
          <cell r="P95" t="str">
            <v>Basic</v>
          </cell>
          <cell r="Q95" t="str">
            <v>Male</v>
          </cell>
          <cell r="R95">
            <v>149.1972602739726</v>
          </cell>
          <cell r="U95" t="str">
            <v>31GoldFemale</v>
          </cell>
          <cell r="V95">
            <v>31</v>
          </cell>
          <cell r="W95" t="str">
            <v>Gold</v>
          </cell>
          <cell r="X95" t="str">
            <v>Female</v>
          </cell>
          <cell r="Y95">
            <v>181.8418818773861</v>
          </cell>
          <cell r="AB95" t="str">
            <v>10BronzeMale</v>
          </cell>
          <cell r="AC95">
            <v>10</v>
          </cell>
          <cell r="AD95" t="str">
            <v>Bronze</v>
          </cell>
          <cell r="AE95" t="str">
            <v>Male</v>
          </cell>
          <cell r="AF95">
            <v>0</v>
          </cell>
        </row>
        <row r="96">
          <cell r="N96" t="str">
            <v>28BronzeFemale</v>
          </cell>
          <cell r="O96">
            <v>28</v>
          </cell>
          <cell r="P96" t="str">
            <v>Bronze</v>
          </cell>
          <cell r="Q96" t="str">
            <v>Female</v>
          </cell>
          <cell r="R96">
            <v>0</v>
          </cell>
          <cell r="U96" t="str">
            <v>31GoldMale</v>
          </cell>
          <cell r="V96">
            <v>31</v>
          </cell>
          <cell r="W96" t="str">
            <v>Gold</v>
          </cell>
          <cell r="X96" t="str">
            <v>Male</v>
          </cell>
          <cell r="Y96">
            <v>14.633108765626169</v>
          </cell>
          <cell r="AB96" t="str">
            <v>10GoldFemale</v>
          </cell>
          <cell r="AC96">
            <v>10</v>
          </cell>
          <cell r="AD96" t="str">
            <v>Gold</v>
          </cell>
          <cell r="AE96" t="str">
            <v>Female</v>
          </cell>
          <cell r="AF96">
            <v>255.97238565760898</v>
          </cell>
        </row>
        <row r="97">
          <cell r="N97" t="str">
            <v>28BronzeMale</v>
          </cell>
          <cell r="O97">
            <v>28</v>
          </cell>
          <cell r="P97" t="str">
            <v>Bronze</v>
          </cell>
          <cell r="Q97" t="str">
            <v>Male</v>
          </cell>
          <cell r="R97">
            <v>0</v>
          </cell>
          <cell r="U97" t="str">
            <v>31SilverFemale</v>
          </cell>
          <cell r="V97">
            <v>31</v>
          </cell>
          <cell r="W97" t="str">
            <v>Silver</v>
          </cell>
          <cell r="X97" t="str">
            <v>Female</v>
          </cell>
          <cell r="Y97">
            <v>153.11780821917802</v>
          </cell>
          <cell r="AB97" t="str">
            <v>10GoldMale</v>
          </cell>
          <cell r="AC97">
            <v>10</v>
          </cell>
          <cell r="AD97" t="str">
            <v>Gold</v>
          </cell>
          <cell r="AE97" t="str">
            <v>Male</v>
          </cell>
          <cell r="AF97">
            <v>263.64557227337377</v>
          </cell>
        </row>
        <row r="98">
          <cell r="N98" t="str">
            <v>28GoldFemale</v>
          </cell>
          <cell r="O98">
            <v>28</v>
          </cell>
          <cell r="P98" t="str">
            <v>Gold</v>
          </cell>
          <cell r="Q98" t="str">
            <v>Female</v>
          </cell>
          <cell r="R98">
            <v>94.855932330264281</v>
          </cell>
          <cell r="U98" t="str">
            <v>31SilverMale</v>
          </cell>
          <cell r="V98">
            <v>31</v>
          </cell>
          <cell r="W98" t="str">
            <v>Silver</v>
          </cell>
          <cell r="X98" t="str">
            <v>Male</v>
          </cell>
          <cell r="Y98">
            <v>19.224657534246578</v>
          </cell>
          <cell r="AB98" t="str">
            <v>10GoldUnknown</v>
          </cell>
          <cell r="AC98">
            <v>10</v>
          </cell>
          <cell r="AD98" t="str">
            <v>Gold</v>
          </cell>
          <cell r="AE98" t="str">
            <v>Unknown</v>
          </cell>
          <cell r="AF98">
            <v>1.1693989071038251</v>
          </cell>
        </row>
        <row r="99">
          <cell r="N99" t="str">
            <v>28GoldMale</v>
          </cell>
          <cell r="O99">
            <v>28</v>
          </cell>
          <cell r="P99" t="str">
            <v>Gold</v>
          </cell>
          <cell r="Q99" t="str">
            <v>Male</v>
          </cell>
          <cell r="R99">
            <v>302.81194700202099</v>
          </cell>
          <cell r="U99" t="str">
            <v>32BasicFemale</v>
          </cell>
          <cell r="V99">
            <v>32</v>
          </cell>
          <cell r="W99" t="str">
            <v>Basic</v>
          </cell>
          <cell r="X99" t="str">
            <v>Female</v>
          </cell>
          <cell r="Y99">
            <v>43.498630136986279</v>
          </cell>
          <cell r="AB99" t="str">
            <v>10SilverFemale</v>
          </cell>
          <cell r="AC99">
            <v>10</v>
          </cell>
          <cell r="AD99" t="str">
            <v>Silver</v>
          </cell>
          <cell r="AE99" t="str">
            <v>Female</v>
          </cell>
          <cell r="AF99">
            <v>208.21369863013709</v>
          </cell>
        </row>
        <row r="100">
          <cell r="N100" t="str">
            <v>28SilverFemale</v>
          </cell>
          <cell r="O100">
            <v>28</v>
          </cell>
          <cell r="P100" t="str">
            <v>Silver</v>
          </cell>
          <cell r="Q100" t="str">
            <v>Female</v>
          </cell>
          <cell r="R100">
            <v>71.846575342465755</v>
          </cell>
          <cell r="U100" t="str">
            <v>32BasicMale</v>
          </cell>
          <cell r="V100">
            <v>32</v>
          </cell>
          <cell r="W100" t="str">
            <v>Basic</v>
          </cell>
          <cell r="X100" t="str">
            <v>Male</v>
          </cell>
          <cell r="Y100">
            <v>8.8179729021633353</v>
          </cell>
          <cell r="AB100" t="str">
            <v>10SilverMale</v>
          </cell>
          <cell r="AC100">
            <v>10</v>
          </cell>
          <cell r="AD100" t="str">
            <v>Silver</v>
          </cell>
          <cell r="AE100" t="str">
            <v>Male</v>
          </cell>
          <cell r="AF100">
            <v>236.43835616438361</v>
          </cell>
        </row>
        <row r="101">
          <cell r="N101" t="str">
            <v>28SilverMale</v>
          </cell>
          <cell r="O101">
            <v>28</v>
          </cell>
          <cell r="P101" t="str">
            <v>Silver</v>
          </cell>
          <cell r="Q101" t="str">
            <v>Male</v>
          </cell>
          <cell r="R101">
            <v>297.09589041095944</v>
          </cell>
          <cell r="U101" t="str">
            <v>32BronzeFemale</v>
          </cell>
          <cell r="V101">
            <v>32</v>
          </cell>
          <cell r="W101" t="str">
            <v>Bronze</v>
          </cell>
          <cell r="X101" t="str">
            <v>Female</v>
          </cell>
          <cell r="Y101">
            <v>0</v>
          </cell>
          <cell r="AB101" t="str">
            <v>11BasicFemale</v>
          </cell>
          <cell r="AC101">
            <v>11</v>
          </cell>
          <cell r="AD101" t="str">
            <v>Basic</v>
          </cell>
          <cell r="AE101" t="str">
            <v>Female</v>
          </cell>
          <cell r="AF101">
            <v>41.210958904109567</v>
          </cell>
        </row>
        <row r="102">
          <cell r="N102" t="str">
            <v>29BasicFemale</v>
          </cell>
          <cell r="O102">
            <v>29</v>
          </cell>
          <cell r="P102" t="str">
            <v>Basic</v>
          </cell>
          <cell r="Q102" t="str">
            <v>Female</v>
          </cell>
          <cell r="R102">
            <v>54.558904109589044</v>
          </cell>
          <cell r="U102" t="str">
            <v>32BronzeMale</v>
          </cell>
          <cell r="V102">
            <v>32</v>
          </cell>
          <cell r="W102" t="str">
            <v>Bronze</v>
          </cell>
          <cell r="X102" t="str">
            <v>Male</v>
          </cell>
          <cell r="Y102">
            <v>0</v>
          </cell>
          <cell r="AB102" t="str">
            <v>11BasicMale</v>
          </cell>
          <cell r="AC102">
            <v>11</v>
          </cell>
          <cell r="AD102" t="str">
            <v>Basic</v>
          </cell>
          <cell r="AE102" t="str">
            <v>Male</v>
          </cell>
          <cell r="AF102">
            <v>49.816438356164376</v>
          </cell>
        </row>
        <row r="103">
          <cell r="N103" t="str">
            <v>29BasicMale</v>
          </cell>
          <cell r="O103">
            <v>29</v>
          </cell>
          <cell r="P103" t="str">
            <v>Basic</v>
          </cell>
          <cell r="Q103" t="str">
            <v>Male</v>
          </cell>
          <cell r="R103">
            <v>138.67945205479461</v>
          </cell>
          <cell r="U103" t="str">
            <v>32GoldFemale</v>
          </cell>
          <cell r="V103">
            <v>32</v>
          </cell>
          <cell r="W103" t="str">
            <v>Gold</v>
          </cell>
          <cell r="X103" t="str">
            <v>Female</v>
          </cell>
          <cell r="Y103">
            <v>180.17630810689431</v>
          </cell>
          <cell r="AB103" t="str">
            <v>11BronzeFemale</v>
          </cell>
          <cell r="AC103">
            <v>11</v>
          </cell>
          <cell r="AD103" t="str">
            <v>Bronze</v>
          </cell>
          <cell r="AE103" t="str">
            <v>Female</v>
          </cell>
          <cell r="AF103">
            <v>0</v>
          </cell>
        </row>
        <row r="104">
          <cell r="N104" t="str">
            <v>29BronzeFemale</v>
          </cell>
          <cell r="O104">
            <v>29</v>
          </cell>
          <cell r="P104" t="str">
            <v>Bronze</v>
          </cell>
          <cell r="Q104" t="str">
            <v>Female</v>
          </cell>
          <cell r="R104">
            <v>0</v>
          </cell>
          <cell r="U104" t="str">
            <v>32GoldMale</v>
          </cell>
          <cell r="V104">
            <v>32</v>
          </cell>
          <cell r="W104" t="str">
            <v>Gold</v>
          </cell>
          <cell r="X104" t="str">
            <v>Male</v>
          </cell>
          <cell r="Y104">
            <v>21.498862190283702</v>
          </cell>
          <cell r="AB104" t="str">
            <v>11BronzeMale</v>
          </cell>
          <cell r="AC104">
            <v>11</v>
          </cell>
          <cell r="AD104" t="str">
            <v>Bronze</v>
          </cell>
          <cell r="AE104" t="str">
            <v>Male</v>
          </cell>
          <cell r="AF104">
            <v>0</v>
          </cell>
        </row>
        <row r="105">
          <cell r="N105" t="str">
            <v>29BronzeMale</v>
          </cell>
          <cell r="O105">
            <v>29</v>
          </cell>
          <cell r="P105" t="str">
            <v>Bronze</v>
          </cell>
          <cell r="Q105" t="str">
            <v>Male</v>
          </cell>
          <cell r="R105">
            <v>0</v>
          </cell>
          <cell r="U105" t="str">
            <v>32SilverFemale</v>
          </cell>
          <cell r="V105">
            <v>32</v>
          </cell>
          <cell r="W105" t="str">
            <v>Silver</v>
          </cell>
          <cell r="X105" t="str">
            <v>Female</v>
          </cell>
          <cell r="Y105">
            <v>144.95616438356163</v>
          </cell>
          <cell r="AB105" t="str">
            <v>11GoldFemale</v>
          </cell>
          <cell r="AC105">
            <v>11</v>
          </cell>
          <cell r="AD105" t="str">
            <v>Gold</v>
          </cell>
          <cell r="AE105" t="str">
            <v>Female</v>
          </cell>
          <cell r="AF105">
            <v>239.74615614941234</v>
          </cell>
        </row>
        <row r="106">
          <cell r="N106" t="str">
            <v>29GoldFemale</v>
          </cell>
          <cell r="O106">
            <v>29</v>
          </cell>
          <cell r="P106" t="str">
            <v>Gold</v>
          </cell>
          <cell r="Q106" t="str">
            <v>Female</v>
          </cell>
          <cell r="R106">
            <v>90.130354068418356</v>
          </cell>
          <cell r="U106" t="str">
            <v>32SilverMale</v>
          </cell>
          <cell r="V106">
            <v>32</v>
          </cell>
          <cell r="W106" t="str">
            <v>Silver</v>
          </cell>
          <cell r="X106" t="str">
            <v>Male</v>
          </cell>
          <cell r="Y106">
            <v>15.021917808219177</v>
          </cell>
          <cell r="AB106" t="str">
            <v>11GoldMale</v>
          </cell>
          <cell r="AC106">
            <v>11</v>
          </cell>
          <cell r="AD106" t="str">
            <v>Gold</v>
          </cell>
          <cell r="AE106" t="str">
            <v>Male</v>
          </cell>
          <cell r="AF106">
            <v>254.71955984729385</v>
          </cell>
        </row>
        <row r="107">
          <cell r="N107" t="str">
            <v>29GoldMale</v>
          </cell>
          <cell r="O107">
            <v>29</v>
          </cell>
          <cell r="P107" t="str">
            <v>Gold</v>
          </cell>
          <cell r="Q107" t="str">
            <v>Male</v>
          </cell>
          <cell r="R107">
            <v>313.50320383262215</v>
          </cell>
          <cell r="U107" t="str">
            <v>33BasicFemale</v>
          </cell>
          <cell r="V107">
            <v>33</v>
          </cell>
          <cell r="W107" t="str">
            <v>Basic</v>
          </cell>
          <cell r="X107" t="str">
            <v>Female</v>
          </cell>
          <cell r="Y107">
            <v>48.351366120218543</v>
          </cell>
          <cell r="AB107" t="str">
            <v>11GoldUnknown</v>
          </cell>
          <cell r="AC107">
            <v>11</v>
          </cell>
          <cell r="AD107" t="str">
            <v>Gold</v>
          </cell>
          <cell r="AE107" t="str">
            <v>Unknown</v>
          </cell>
          <cell r="AF107">
            <v>1.8429074032487462</v>
          </cell>
        </row>
        <row r="108">
          <cell r="N108" t="str">
            <v>29SilverFemale</v>
          </cell>
          <cell r="O108">
            <v>29</v>
          </cell>
          <cell r="P108" t="str">
            <v>Silver</v>
          </cell>
          <cell r="Q108" t="str">
            <v>Female</v>
          </cell>
          <cell r="R108">
            <v>69.405479452054792</v>
          </cell>
          <cell r="U108" t="str">
            <v>33BasicMale</v>
          </cell>
          <cell r="V108">
            <v>33</v>
          </cell>
          <cell r="W108" t="str">
            <v>Basic</v>
          </cell>
          <cell r="X108" t="str">
            <v>Male</v>
          </cell>
          <cell r="Y108">
            <v>10.849315068493151</v>
          </cell>
          <cell r="AB108" t="str">
            <v>11SilverFemale</v>
          </cell>
          <cell r="AC108">
            <v>11</v>
          </cell>
          <cell r="AD108" t="str">
            <v>Silver</v>
          </cell>
          <cell r="AE108" t="str">
            <v>Female</v>
          </cell>
          <cell r="AF108">
            <v>239.1972602739728</v>
          </cell>
        </row>
        <row r="109">
          <cell r="N109" t="str">
            <v>29SilverMale</v>
          </cell>
          <cell r="O109">
            <v>29</v>
          </cell>
          <cell r="P109" t="str">
            <v>Silver</v>
          </cell>
          <cell r="Q109" t="str">
            <v>Male</v>
          </cell>
          <cell r="R109">
            <v>331.24931506849401</v>
          </cell>
          <cell r="U109" t="str">
            <v>33BronzeFemale</v>
          </cell>
          <cell r="V109">
            <v>33</v>
          </cell>
          <cell r="W109" t="str">
            <v>Bronze</v>
          </cell>
          <cell r="X109" t="str">
            <v>Female</v>
          </cell>
          <cell r="Y109">
            <v>0</v>
          </cell>
          <cell r="AB109" t="str">
            <v>11SilverMale</v>
          </cell>
          <cell r="AC109">
            <v>11</v>
          </cell>
          <cell r="AD109" t="str">
            <v>Silver</v>
          </cell>
          <cell r="AE109" t="str">
            <v>Male</v>
          </cell>
          <cell r="AF109">
            <v>208.20273972602757</v>
          </cell>
        </row>
        <row r="110">
          <cell r="N110" t="str">
            <v>30BasicFemale</v>
          </cell>
          <cell r="O110">
            <v>30</v>
          </cell>
          <cell r="P110" t="str">
            <v>Basic</v>
          </cell>
          <cell r="Q110" t="str">
            <v>Female</v>
          </cell>
          <cell r="R110">
            <v>49.976195823040648</v>
          </cell>
          <cell r="U110" t="str">
            <v>33BronzeMale</v>
          </cell>
          <cell r="V110">
            <v>33</v>
          </cell>
          <cell r="W110" t="str">
            <v>Bronze</v>
          </cell>
          <cell r="X110" t="str">
            <v>Male</v>
          </cell>
          <cell r="Y110">
            <v>0</v>
          </cell>
          <cell r="AB110" t="str">
            <v>11SilverUnknown</v>
          </cell>
          <cell r="AC110">
            <v>11</v>
          </cell>
          <cell r="AD110" t="str">
            <v>Silver</v>
          </cell>
          <cell r="AE110" t="str">
            <v>Unknown</v>
          </cell>
          <cell r="AF110">
            <v>0.57808219178082187</v>
          </cell>
        </row>
        <row r="111">
          <cell r="N111" t="str">
            <v>30BasicMale</v>
          </cell>
          <cell r="O111">
            <v>30</v>
          </cell>
          <cell r="P111" t="str">
            <v>Basic</v>
          </cell>
          <cell r="Q111" t="str">
            <v>Male</v>
          </cell>
          <cell r="R111">
            <v>144.19178082191794</v>
          </cell>
          <cell r="U111" t="str">
            <v>33GoldFemale</v>
          </cell>
          <cell r="V111">
            <v>33</v>
          </cell>
          <cell r="W111" t="str">
            <v>Gold</v>
          </cell>
          <cell r="X111" t="str">
            <v>Female</v>
          </cell>
          <cell r="Y111">
            <v>160.35881428250624</v>
          </cell>
          <cell r="AB111" t="str">
            <v>12BasicFemale</v>
          </cell>
          <cell r="AC111">
            <v>12</v>
          </cell>
          <cell r="AD111" t="str">
            <v>Basic</v>
          </cell>
          <cell r="AE111" t="str">
            <v>Female</v>
          </cell>
          <cell r="AF111">
            <v>42.117808219178073</v>
          </cell>
        </row>
        <row r="112">
          <cell r="N112" t="str">
            <v>30BronzeFemale</v>
          </cell>
          <cell r="O112">
            <v>30</v>
          </cell>
          <cell r="P112" t="str">
            <v>Bronze</v>
          </cell>
          <cell r="Q112" t="str">
            <v>Female</v>
          </cell>
          <cell r="R112">
            <v>0</v>
          </cell>
          <cell r="U112" t="str">
            <v>33GoldMale</v>
          </cell>
          <cell r="V112">
            <v>33</v>
          </cell>
          <cell r="W112" t="str">
            <v>Gold</v>
          </cell>
          <cell r="X112" t="str">
            <v>Male</v>
          </cell>
          <cell r="Y112">
            <v>16.115532599745489</v>
          </cell>
          <cell r="AB112" t="str">
            <v>12BasicMale</v>
          </cell>
          <cell r="AC112">
            <v>12</v>
          </cell>
          <cell r="AD112" t="str">
            <v>Basic</v>
          </cell>
          <cell r="AE112" t="str">
            <v>Male</v>
          </cell>
          <cell r="AF112">
            <v>46.454794520547935</v>
          </cell>
        </row>
        <row r="113">
          <cell r="N113" t="str">
            <v>30BronzeMale</v>
          </cell>
          <cell r="O113">
            <v>30</v>
          </cell>
          <cell r="P113" t="str">
            <v>Bronze</v>
          </cell>
          <cell r="Q113" t="str">
            <v>Male</v>
          </cell>
          <cell r="R113">
            <v>0</v>
          </cell>
          <cell r="U113" t="str">
            <v>33GoldUnknown</v>
          </cell>
          <cell r="V113">
            <v>33</v>
          </cell>
          <cell r="W113" t="str">
            <v>Gold</v>
          </cell>
          <cell r="X113" t="str">
            <v>Unknown</v>
          </cell>
          <cell r="Y113">
            <v>8.4931506849315067E-2</v>
          </cell>
          <cell r="AB113" t="str">
            <v>12BronzeFemale</v>
          </cell>
          <cell r="AC113">
            <v>12</v>
          </cell>
          <cell r="AD113" t="str">
            <v>Bronze</v>
          </cell>
          <cell r="AE113" t="str">
            <v>Female</v>
          </cell>
          <cell r="AF113">
            <v>0</v>
          </cell>
        </row>
        <row r="114">
          <cell r="N114" t="str">
            <v>30GoldFemale</v>
          </cell>
          <cell r="O114">
            <v>30</v>
          </cell>
          <cell r="P114" t="str">
            <v>Gold</v>
          </cell>
          <cell r="Q114" t="str">
            <v>Female</v>
          </cell>
          <cell r="R114">
            <v>99.734239089752293</v>
          </cell>
          <cell r="U114" t="str">
            <v>33SilverFemale</v>
          </cell>
          <cell r="V114">
            <v>33</v>
          </cell>
          <cell r="W114" t="str">
            <v>Silver</v>
          </cell>
          <cell r="X114" t="str">
            <v>Female</v>
          </cell>
          <cell r="Y114">
            <v>129.76164383561638</v>
          </cell>
          <cell r="AB114" t="str">
            <v>12BronzeMale</v>
          </cell>
          <cell r="AC114">
            <v>12</v>
          </cell>
          <cell r="AD114" t="str">
            <v>Bronze</v>
          </cell>
          <cell r="AE114" t="str">
            <v>Male</v>
          </cell>
          <cell r="AF114">
            <v>0</v>
          </cell>
        </row>
        <row r="115">
          <cell r="N115" t="str">
            <v>30GoldMale</v>
          </cell>
          <cell r="O115">
            <v>30</v>
          </cell>
          <cell r="P115" t="str">
            <v>Gold</v>
          </cell>
          <cell r="Q115" t="str">
            <v>Male</v>
          </cell>
          <cell r="R115">
            <v>300.28939291863179</v>
          </cell>
          <cell r="U115" t="str">
            <v>33SilverMale</v>
          </cell>
          <cell r="V115">
            <v>33</v>
          </cell>
          <cell r="W115" t="str">
            <v>Silver</v>
          </cell>
          <cell r="X115" t="str">
            <v>Male</v>
          </cell>
          <cell r="Y115">
            <v>15.728767123287675</v>
          </cell>
          <cell r="AB115" t="str">
            <v>12GoldFemale</v>
          </cell>
          <cell r="AC115">
            <v>12</v>
          </cell>
          <cell r="AD115" t="str">
            <v>Gold</v>
          </cell>
          <cell r="AE115" t="str">
            <v>Female</v>
          </cell>
          <cell r="AF115">
            <v>231.30319634703199</v>
          </cell>
        </row>
        <row r="116">
          <cell r="N116" t="str">
            <v>30SilverFemale</v>
          </cell>
          <cell r="O116">
            <v>30</v>
          </cell>
          <cell r="P116" t="str">
            <v>Silver</v>
          </cell>
          <cell r="Q116" t="str">
            <v>Female</v>
          </cell>
          <cell r="R116">
            <v>75.526027397260279</v>
          </cell>
          <cell r="U116" t="str">
            <v>34BasicFemale</v>
          </cell>
          <cell r="V116">
            <v>34</v>
          </cell>
          <cell r="W116" t="str">
            <v>Basic</v>
          </cell>
          <cell r="X116" t="str">
            <v>Female</v>
          </cell>
          <cell r="Y116">
            <v>46.339726027397226</v>
          </cell>
          <cell r="AB116" t="str">
            <v>12GoldMale</v>
          </cell>
          <cell r="AC116">
            <v>12</v>
          </cell>
          <cell r="AD116" t="str">
            <v>Gold</v>
          </cell>
          <cell r="AE116" t="str">
            <v>Male</v>
          </cell>
          <cell r="AF116">
            <v>225.55252638670564</v>
          </cell>
        </row>
        <row r="117">
          <cell r="N117" t="str">
            <v>30SilverMale</v>
          </cell>
          <cell r="O117">
            <v>30</v>
          </cell>
          <cell r="P117" t="str">
            <v>Silver</v>
          </cell>
          <cell r="Q117" t="str">
            <v>Male</v>
          </cell>
          <cell r="R117">
            <v>325.74794520548033</v>
          </cell>
          <cell r="U117" t="str">
            <v>34BasicMale</v>
          </cell>
          <cell r="V117">
            <v>34</v>
          </cell>
          <cell r="W117" t="str">
            <v>Basic</v>
          </cell>
          <cell r="X117" t="str">
            <v>Male</v>
          </cell>
          <cell r="Y117">
            <v>10.246575342465754</v>
          </cell>
          <cell r="AB117" t="str">
            <v>12GoldUnknown</v>
          </cell>
          <cell r="AC117">
            <v>12</v>
          </cell>
          <cell r="AD117" t="str">
            <v>Gold</v>
          </cell>
          <cell r="AE117" t="str">
            <v>Unknown</v>
          </cell>
          <cell r="AF117">
            <v>1</v>
          </cell>
        </row>
        <row r="118">
          <cell r="N118" t="str">
            <v>31BasicFemale</v>
          </cell>
          <cell r="O118">
            <v>31</v>
          </cell>
          <cell r="P118" t="str">
            <v>Basic</v>
          </cell>
          <cell r="Q118" t="str">
            <v>Female</v>
          </cell>
          <cell r="R118">
            <v>43.6</v>
          </cell>
          <cell r="U118" t="str">
            <v>34BronzeFemale</v>
          </cell>
          <cell r="V118">
            <v>34</v>
          </cell>
          <cell r="W118" t="str">
            <v>Bronze</v>
          </cell>
          <cell r="X118" t="str">
            <v>Female</v>
          </cell>
          <cell r="Y118">
            <v>0</v>
          </cell>
          <cell r="AB118" t="str">
            <v>12SilverFemale</v>
          </cell>
          <cell r="AC118">
            <v>12</v>
          </cell>
          <cell r="AD118" t="str">
            <v>Silver</v>
          </cell>
          <cell r="AE118" t="str">
            <v>Female</v>
          </cell>
          <cell r="AF118">
            <v>208.87945205479474</v>
          </cell>
        </row>
        <row r="119">
          <cell r="N119" t="str">
            <v>31BasicMale</v>
          </cell>
          <cell r="O119">
            <v>31</v>
          </cell>
          <cell r="P119" t="str">
            <v>Basic</v>
          </cell>
          <cell r="Q119" t="str">
            <v>Male</v>
          </cell>
          <cell r="R119">
            <v>151.50410958904124</v>
          </cell>
          <cell r="U119" t="str">
            <v>34BronzeMale</v>
          </cell>
          <cell r="V119">
            <v>34</v>
          </cell>
          <cell r="W119" t="str">
            <v>Bronze</v>
          </cell>
          <cell r="X119" t="str">
            <v>Male</v>
          </cell>
          <cell r="Y119">
            <v>0</v>
          </cell>
          <cell r="AB119" t="str">
            <v>12SilverMale</v>
          </cell>
          <cell r="AC119">
            <v>12</v>
          </cell>
          <cell r="AD119" t="str">
            <v>Silver</v>
          </cell>
          <cell r="AE119" t="str">
            <v>Male</v>
          </cell>
          <cell r="AF119">
            <v>204.89315068493147</v>
          </cell>
        </row>
        <row r="120">
          <cell r="N120" t="str">
            <v>31BronzeFemale</v>
          </cell>
          <cell r="O120">
            <v>31</v>
          </cell>
          <cell r="P120" t="str">
            <v>Bronze</v>
          </cell>
          <cell r="Q120" t="str">
            <v>Female</v>
          </cell>
          <cell r="R120">
            <v>0</v>
          </cell>
          <cell r="U120" t="str">
            <v>34GoldFemale</v>
          </cell>
          <cell r="V120">
            <v>34</v>
          </cell>
          <cell r="W120" t="str">
            <v>Gold</v>
          </cell>
          <cell r="X120" t="str">
            <v>Female</v>
          </cell>
          <cell r="Y120">
            <v>148.43291414028005</v>
          </cell>
          <cell r="AB120" t="str">
            <v>12SilverUnknown</v>
          </cell>
          <cell r="AC120">
            <v>12</v>
          </cell>
          <cell r="AD120" t="str">
            <v>Silver</v>
          </cell>
          <cell r="AE120" t="str">
            <v>Unknown</v>
          </cell>
          <cell r="AF120">
            <v>0</v>
          </cell>
        </row>
        <row r="121">
          <cell r="N121" t="str">
            <v>31BronzeMale</v>
          </cell>
          <cell r="O121">
            <v>31</v>
          </cell>
          <cell r="P121" t="str">
            <v>Bronze</v>
          </cell>
          <cell r="Q121" t="str">
            <v>Male</v>
          </cell>
          <cell r="R121">
            <v>0</v>
          </cell>
          <cell r="U121" t="str">
            <v>34GoldMale</v>
          </cell>
          <cell r="V121">
            <v>34</v>
          </cell>
          <cell r="W121" t="str">
            <v>Gold</v>
          </cell>
          <cell r="X121" t="str">
            <v>Male</v>
          </cell>
          <cell r="Y121">
            <v>11.002739726027396</v>
          </cell>
          <cell r="AB121" t="str">
            <v>13BasicFemale</v>
          </cell>
          <cell r="AC121">
            <v>13</v>
          </cell>
          <cell r="AD121" t="str">
            <v>Basic</v>
          </cell>
          <cell r="AE121" t="str">
            <v>Female</v>
          </cell>
          <cell r="AF121">
            <v>22.88219178082192</v>
          </cell>
        </row>
        <row r="122">
          <cell r="N122" t="str">
            <v>31GoldFemale</v>
          </cell>
          <cell r="O122">
            <v>31</v>
          </cell>
          <cell r="P122" t="str">
            <v>Gold</v>
          </cell>
          <cell r="Q122" t="str">
            <v>Female</v>
          </cell>
          <cell r="R122">
            <v>108.96233999550873</v>
          </cell>
          <cell r="U122" t="str">
            <v>34SilverFemale</v>
          </cell>
          <cell r="V122">
            <v>34</v>
          </cell>
          <cell r="W122" t="str">
            <v>Silver</v>
          </cell>
          <cell r="X122" t="str">
            <v>Female</v>
          </cell>
          <cell r="Y122">
            <v>133.45205479452054</v>
          </cell>
          <cell r="AB122" t="str">
            <v>13BasicMale</v>
          </cell>
          <cell r="AC122">
            <v>13</v>
          </cell>
          <cell r="AD122" t="str">
            <v>Basic</v>
          </cell>
          <cell r="AE122" t="str">
            <v>Male</v>
          </cell>
          <cell r="AF122">
            <v>28.005479452054793</v>
          </cell>
        </row>
        <row r="123">
          <cell r="N123" t="str">
            <v>31GoldMale</v>
          </cell>
          <cell r="O123">
            <v>31</v>
          </cell>
          <cell r="P123" t="str">
            <v>Gold</v>
          </cell>
          <cell r="Q123" t="str">
            <v>Male</v>
          </cell>
          <cell r="R123">
            <v>271.97421962721756</v>
          </cell>
          <cell r="U123" t="str">
            <v>34SilverMale</v>
          </cell>
          <cell r="V123">
            <v>34</v>
          </cell>
          <cell r="W123" t="str">
            <v>Silver</v>
          </cell>
          <cell r="X123" t="str">
            <v>Male</v>
          </cell>
          <cell r="Y123">
            <v>16.728767123287671</v>
          </cell>
          <cell r="AB123" t="str">
            <v>13BronzeFemale</v>
          </cell>
          <cell r="AC123">
            <v>13</v>
          </cell>
          <cell r="AD123" t="str">
            <v>Bronze</v>
          </cell>
          <cell r="AE123" t="str">
            <v>Female</v>
          </cell>
          <cell r="AF123">
            <v>0</v>
          </cell>
        </row>
        <row r="124">
          <cell r="N124" t="str">
            <v>31SilverFemale</v>
          </cell>
          <cell r="O124">
            <v>31</v>
          </cell>
          <cell r="P124" t="str">
            <v>Silver</v>
          </cell>
          <cell r="Q124" t="str">
            <v>Female</v>
          </cell>
          <cell r="R124">
            <v>76.441095890410978</v>
          </cell>
          <cell r="U124" t="str">
            <v>35BasicFemale</v>
          </cell>
          <cell r="V124">
            <v>35</v>
          </cell>
          <cell r="W124" t="str">
            <v>Basic</v>
          </cell>
          <cell r="X124" t="str">
            <v>Female</v>
          </cell>
          <cell r="Y124">
            <v>44.076712328767101</v>
          </cell>
          <cell r="AB124" t="str">
            <v>13BronzeMale</v>
          </cell>
          <cell r="AC124">
            <v>13</v>
          </cell>
          <cell r="AD124" t="str">
            <v>Bronze</v>
          </cell>
          <cell r="AE124" t="str">
            <v>Male</v>
          </cell>
          <cell r="AF124">
            <v>0</v>
          </cell>
        </row>
        <row r="125">
          <cell r="N125" t="str">
            <v>31SilverMale</v>
          </cell>
          <cell r="O125">
            <v>31</v>
          </cell>
          <cell r="P125" t="str">
            <v>Silver</v>
          </cell>
          <cell r="Q125" t="str">
            <v>Male</v>
          </cell>
          <cell r="R125">
            <v>345.57808219178145</v>
          </cell>
          <cell r="U125" t="str">
            <v>35BasicMale</v>
          </cell>
          <cell r="V125">
            <v>35</v>
          </cell>
          <cell r="W125" t="str">
            <v>Basic</v>
          </cell>
          <cell r="X125" t="str">
            <v>Male</v>
          </cell>
          <cell r="Y125">
            <v>11.013698630136988</v>
          </cell>
          <cell r="AB125" t="str">
            <v>13GoldFemale</v>
          </cell>
          <cell r="AC125">
            <v>13</v>
          </cell>
          <cell r="AD125" t="str">
            <v>Gold</v>
          </cell>
          <cell r="AE125" t="str">
            <v>Female</v>
          </cell>
          <cell r="AF125">
            <v>216.80228310502298</v>
          </cell>
        </row>
        <row r="126">
          <cell r="N126" t="str">
            <v>32BasicFemale</v>
          </cell>
          <cell r="O126">
            <v>32</v>
          </cell>
          <cell r="P126" t="str">
            <v>Basic</v>
          </cell>
          <cell r="Q126" t="str">
            <v>Female</v>
          </cell>
          <cell r="R126">
            <v>40.109589041095887</v>
          </cell>
          <cell r="U126" t="str">
            <v>35BronzeFemale</v>
          </cell>
          <cell r="V126">
            <v>35</v>
          </cell>
          <cell r="W126" t="str">
            <v>Bronze</v>
          </cell>
          <cell r="X126" t="str">
            <v>Female</v>
          </cell>
          <cell r="Y126">
            <v>0</v>
          </cell>
          <cell r="AB126" t="str">
            <v>13GoldMale</v>
          </cell>
          <cell r="AC126">
            <v>13</v>
          </cell>
          <cell r="AD126" t="str">
            <v>Gold</v>
          </cell>
          <cell r="AE126" t="str">
            <v>Male</v>
          </cell>
          <cell r="AF126">
            <v>222.07969907927242</v>
          </cell>
        </row>
        <row r="127">
          <cell r="N127" t="str">
            <v>32BasicMale</v>
          </cell>
          <cell r="O127">
            <v>32</v>
          </cell>
          <cell r="P127" t="str">
            <v>Basic</v>
          </cell>
          <cell r="Q127" t="str">
            <v>Male</v>
          </cell>
          <cell r="R127">
            <v>123.12602739726039</v>
          </cell>
          <cell r="U127" t="str">
            <v>35BronzeMale</v>
          </cell>
          <cell r="V127">
            <v>35</v>
          </cell>
          <cell r="W127" t="str">
            <v>Bronze</v>
          </cell>
          <cell r="X127" t="str">
            <v>Male</v>
          </cell>
          <cell r="Y127">
            <v>0</v>
          </cell>
          <cell r="AB127" t="str">
            <v>13GoldUnknown</v>
          </cell>
          <cell r="AC127">
            <v>13</v>
          </cell>
          <cell r="AD127" t="str">
            <v>Gold</v>
          </cell>
          <cell r="AE127" t="str">
            <v>Unknown</v>
          </cell>
          <cell r="AF127">
            <v>2.6735084961449211</v>
          </cell>
        </row>
        <row r="128">
          <cell r="N128" t="str">
            <v>32BronzeFemale</v>
          </cell>
          <cell r="O128">
            <v>32</v>
          </cell>
          <cell r="P128" t="str">
            <v>Bronze</v>
          </cell>
          <cell r="Q128" t="str">
            <v>Female</v>
          </cell>
          <cell r="R128">
            <v>0</v>
          </cell>
          <cell r="U128" t="str">
            <v>35GoldFemale</v>
          </cell>
          <cell r="V128">
            <v>35</v>
          </cell>
          <cell r="W128" t="str">
            <v>Gold</v>
          </cell>
          <cell r="X128" t="str">
            <v>Female</v>
          </cell>
          <cell r="Y128">
            <v>141.58586720562923</v>
          </cell>
          <cell r="AB128" t="str">
            <v>13SilverFemale</v>
          </cell>
          <cell r="AC128">
            <v>13</v>
          </cell>
          <cell r="AD128" t="str">
            <v>Silver</v>
          </cell>
          <cell r="AE128" t="str">
            <v>Female</v>
          </cell>
          <cell r="AF128">
            <v>197.46575342465766</v>
          </cell>
        </row>
        <row r="129">
          <cell r="N129" t="str">
            <v>32BronzeMale</v>
          </cell>
          <cell r="O129">
            <v>32</v>
          </cell>
          <cell r="P129" t="str">
            <v>Bronze</v>
          </cell>
          <cell r="Q129" t="str">
            <v>Male</v>
          </cell>
          <cell r="R129">
            <v>0</v>
          </cell>
          <cell r="U129" t="str">
            <v>35GoldMale</v>
          </cell>
          <cell r="V129">
            <v>35</v>
          </cell>
          <cell r="W129" t="str">
            <v>Gold</v>
          </cell>
          <cell r="X129" t="str">
            <v>Male</v>
          </cell>
          <cell r="Y129">
            <v>9.6741971704468899</v>
          </cell>
          <cell r="AB129" t="str">
            <v>13SilverMale</v>
          </cell>
          <cell r="AC129">
            <v>13</v>
          </cell>
          <cell r="AD129" t="str">
            <v>Silver</v>
          </cell>
          <cell r="AE129" t="str">
            <v>Male</v>
          </cell>
          <cell r="AF129">
            <v>213.25753424657543</v>
          </cell>
        </row>
        <row r="130">
          <cell r="N130" t="str">
            <v>32GoldFemale</v>
          </cell>
          <cell r="O130">
            <v>32</v>
          </cell>
          <cell r="P130" t="str">
            <v>Gold</v>
          </cell>
          <cell r="Q130" t="str">
            <v>Female</v>
          </cell>
          <cell r="R130">
            <v>99.713234523542269</v>
          </cell>
          <cell r="U130" t="str">
            <v>35SilverFemale</v>
          </cell>
          <cell r="V130">
            <v>35</v>
          </cell>
          <cell r="W130" t="str">
            <v>Silver</v>
          </cell>
          <cell r="X130" t="str">
            <v>Female</v>
          </cell>
          <cell r="Y130">
            <v>116.75068493150687</v>
          </cell>
          <cell r="AB130" t="str">
            <v>14BasicFemale</v>
          </cell>
          <cell r="AC130">
            <v>14</v>
          </cell>
          <cell r="AD130" t="str">
            <v>Basic</v>
          </cell>
          <cell r="AE130" t="str">
            <v>Female</v>
          </cell>
          <cell r="AF130">
            <v>29.005479452054789</v>
          </cell>
        </row>
        <row r="131">
          <cell r="N131" t="str">
            <v>32GoldMale</v>
          </cell>
          <cell r="O131">
            <v>32</v>
          </cell>
          <cell r="P131" t="str">
            <v>Gold</v>
          </cell>
          <cell r="Q131" t="str">
            <v>Male</v>
          </cell>
          <cell r="R131">
            <v>274.3538887641289</v>
          </cell>
          <cell r="U131" t="str">
            <v>35SilverMale</v>
          </cell>
          <cell r="V131">
            <v>35</v>
          </cell>
          <cell r="W131" t="str">
            <v>Silver</v>
          </cell>
          <cell r="X131" t="str">
            <v>Male</v>
          </cell>
          <cell r="Y131">
            <v>16.824657534246576</v>
          </cell>
          <cell r="AB131" t="str">
            <v>14BasicMale</v>
          </cell>
          <cell r="AC131">
            <v>14</v>
          </cell>
          <cell r="AD131" t="str">
            <v>Basic</v>
          </cell>
          <cell r="AE131" t="str">
            <v>Male</v>
          </cell>
          <cell r="AF131">
            <v>32.463013698630135</v>
          </cell>
        </row>
        <row r="132">
          <cell r="N132" t="str">
            <v>32SilverFemale</v>
          </cell>
          <cell r="O132">
            <v>32</v>
          </cell>
          <cell r="P132" t="str">
            <v>Silver</v>
          </cell>
          <cell r="Q132" t="str">
            <v>Female</v>
          </cell>
          <cell r="R132">
            <v>79.030136986301358</v>
          </cell>
          <cell r="U132" t="str">
            <v>36BasicFemale</v>
          </cell>
          <cell r="V132">
            <v>36</v>
          </cell>
          <cell r="W132" t="str">
            <v>Basic</v>
          </cell>
          <cell r="X132" t="str">
            <v>Female</v>
          </cell>
          <cell r="Y132">
            <v>39.183561643835603</v>
          </cell>
          <cell r="AB132" t="str">
            <v>14BronzeFemale</v>
          </cell>
          <cell r="AC132">
            <v>14</v>
          </cell>
          <cell r="AD132" t="str">
            <v>Bronze</v>
          </cell>
          <cell r="AE132" t="str">
            <v>Female</v>
          </cell>
          <cell r="AF132">
            <v>0</v>
          </cell>
        </row>
        <row r="133">
          <cell r="N133" t="str">
            <v>32SilverMale</v>
          </cell>
          <cell r="O133">
            <v>32</v>
          </cell>
          <cell r="P133" t="str">
            <v>Silver</v>
          </cell>
          <cell r="Q133" t="str">
            <v>Male</v>
          </cell>
          <cell r="R133">
            <v>346.33424657534329</v>
          </cell>
          <cell r="U133" t="str">
            <v>36BasicMale</v>
          </cell>
          <cell r="V133">
            <v>36</v>
          </cell>
          <cell r="W133" t="str">
            <v>Basic</v>
          </cell>
          <cell r="X133" t="str">
            <v>Male</v>
          </cell>
          <cell r="Y133">
            <v>8.632876712328768</v>
          </cell>
          <cell r="AB133" t="str">
            <v>14BronzeMale</v>
          </cell>
          <cell r="AC133">
            <v>14</v>
          </cell>
          <cell r="AD133" t="str">
            <v>Bronze</v>
          </cell>
          <cell r="AE133" t="str">
            <v>Male</v>
          </cell>
          <cell r="AF133">
            <v>0</v>
          </cell>
        </row>
        <row r="134">
          <cell r="N134" t="str">
            <v>33BasicFemale</v>
          </cell>
          <cell r="O134">
            <v>33</v>
          </cell>
          <cell r="P134" t="str">
            <v>Basic</v>
          </cell>
          <cell r="Q134" t="str">
            <v>Female</v>
          </cell>
          <cell r="R134">
            <v>42.035616438356165</v>
          </cell>
          <cell r="U134" t="str">
            <v>36BronzeFemale</v>
          </cell>
          <cell r="V134">
            <v>36</v>
          </cell>
          <cell r="W134" t="str">
            <v>Bronze</v>
          </cell>
          <cell r="X134" t="str">
            <v>Female</v>
          </cell>
          <cell r="Y134">
            <v>0</v>
          </cell>
          <cell r="AB134" t="str">
            <v>14GoldFemale</v>
          </cell>
          <cell r="AC134">
            <v>14</v>
          </cell>
          <cell r="AD134" t="str">
            <v>Gold</v>
          </cell>
          <cell r="AE134" t="str">
            <v>Female</v>
          </cell>
          <cell r="AF134">
            <v>217.77801482146882</v>
          </cell>
        </row>
        <row r="135">
          <cell r="N135" t="str">
            <v>33BasicMale</v>
          </cell>
          <cell r="O135">
            <v>33</v>
          </cell>
          <cell r="P135" t="str">
            <v>Basic</v>
          </cell>
          <cell r="Q135" t="str">
            <v>Male</v>
          </cell>
          <cell r="R135">
            <v>109.75342465753434</v>
          </cell>
          <cell r="U135" t="str">
            <v>36BronzeMale</v>
          </cell>
          <cell r="V135">
            <v>36</v>
          </cell>
          <cell r="W135" t="str">
            <v>Bronze</v>
          </cell>
          <cell r="X135" t="str">
            <v>Male</v>
          </cell>
          <cell r="Y135">
            <v>0</v>
          </cell>
          <cell r="AB135" t="str">
            <v>14GoldMale</v>
          </cell>
          <cell r="AC135">
            <v>14</v>
          </cell>
          <cell r="AD135" t="str">
            <v>Gold</v>
          </cell>
          <cell r="AE135" t="str">
            <v>Male</v>
          </cell>
          <cell r="AF135">
            <v>206.53310876562614</v>
          </cell>
        </row>
        <row r="136">
          <cell r="N136" t="str">
            <v>33BronzeFemale</v>
          </cell>
          <cell r="O136">
            <v>33</v>
          </cell>
          <cell r="P136" t="str">
            <v>Bronze</v>
          </cell>
          <cell r="Q136" t="str">
            <v>Female</v>
          </cell>
          <cell r="R136">
            <v>0</v>
          </cell>
          <cell r="U136" t="str">
            <v>36GoldFemale</v>
          </cell>
          <cell r="V136">
            <v>36</v>
          </cell>
          <cell r="W136" t="str">
            <v>Gold</v>
          </cell>
          <cell r="X136" t="str">
            <v>Female</v>
          </cell>
          <cell r="Y136">
            <v>110.28015570027701</v>
          </cell>
          <cell r="AB136" t="str">
            <v>14GoldUnknown</v>
          </cell>
          <cell r="AC136">
            <v>14</v>
          </cell>
          <cell r="AD136" t="str">
            <v>Gold</v>
          </cell>
          <cell r="AE136" t="str">
            <v>Unknown</v>
          </cell>
          <cell r="AF136">
            <v>2.4214537016243733</v>
          </cell>
        </row>
        <row r="137">
          <cell r="N137" t="str">
            <v>33BronzeMale</v>
          </cell>
          <cell r="O137">
            <v>33</v>
          </cell>
          <cell r="P137" t="str">
            <v>Bronze</v>
          </cell>
          <cell r="Q137" t="str">
            <v>Male</v>
          </cell>
          <cell r="R137">
            <v>0</v>
          </cell>
          <cell r="U137" t="str">
            <v>36GoldMale</v>
          </cell>
          <cell r="V137">
            <v>36</v>
          </cell>
          <cell r="W137" t="str">
            <v>Gold</v>
          </cell>
          <cell r="X137" t="str">
            <v>Male</v>
          </cell>
          <cell r="Y137">
            <v>18.528999176585078</v>
          </cell>
          <cell r="AB137" t="str">
            <v>14SilverFemale</v>
          </cell>
          <cell r="AC137">
            <v>14</v>
          </cell>
          <cell r="AD137" t="str">
            <v>Silver</v>
          </cell>
          <cell r="AE137" t="str">
            <v>Female</v>
          </cell>
          <cell r="AF137">
            <v>183.81095890410953</v>
          </cell>
        </row>
        <row r="138">
          <cell r="N138" t="str">
            <v>33GoldFemale</v>
          </cell>
          <cell r="O138">
            <v>33</v>
          </cell>
          <cell r="P138" t="str">
            <v>Gold</v>
          </cell>
          <cell r="Q138" t="str">
            <v>Female</v>
          </cell>
          <cell r="R138">
            <v>86.702051051725462</v>
          </cell>
          <cell r="U138" t="str">
            <v>36SilverFemale</v>
          </cell>
          <cell r="V138">
            <v>36</v>
          </cell>
          <cell r="W138" t="str">
            <v>Silver</v>
          </cell>
          <cell r="X138" t="str">
            <v>Female</v>
          </cell>
          <cell r="Y138">
            <v>100.23835616438359</v>
          </cell>
          <cell r="AB138" t="str">
            <v>14SilverMale</v>
          </cell>
          <cell r="AC138">
            <v>14</v>
          </cell>
          <cell r="AD138" t="str">
            <v>Silver</v>
          </cell>
          <cell r="AE138" t="str">
            <v>Male</v>
          </cell>
          <cell r="AF138">
            <v>191.7424657534248</v>
          </cell>
        </row>
        <row r="139">
          <cell r="N139" t="str">
            <v>33GoldMale</v>
          </cell>
          <cell r="O139">
            <v>33</v>
          </cell>
          <cell r="P139" t="str">
            <v>Gold</v>
          </cell>
          <cell r="Q139" t="str">
            <v>Male</v>
          </cell>
          <cell r="R139">
            <v>288.88904858148055</v>
          </cell>
          <cell r="U139" t="str">
            <v>36SilverMale</v>
          </cell>
          <cell r="V139">
            <v>36</v>
          </cell>
          <cell r="W139" t="str">
            <v>Silver</v>
          </cell>
          <cell r="X139" t="str">
            <v>Male</v>
          </cell>
          <cell r="Y139">
            <v>18.36986301369863</v>
          </cell>
          <cell r="AB139" t="str">
            <v>15BasicFemale</v>
          </cell>
          <cell r="AC139">
            <v>15</v>
          </cell>
          <cell r="AD139" t="str">
            <v>Basic</v>
          </cell>
          <cell r="AE139" t="str">
            <v>Female</v>
          </cell>
          <cell r="AF139">
            <v>24.931506849315074</v>
          </cell>
        </row>
        <row r="140">
          <cell r="N140" t="str">
            <v>33SilverFemale</v>
          </cell>
          <cell r="O140">
            <v>33</v>
          </cell>
          <cell r="P140" t="str">
            <v>Silver</v>
          </cell>
          <cell r="Q140" t="str">
            <v>Female</v>
          </cell>
          <cell r="R140">
            <v>77.854794520547927</v>
          </cell>
          <cell r="U140" t="str">
            <v>37BasicFemale</v>
          </cell>
          <cell r="V140">
            <v>37</v>
          </cell>
          <cell r="W140" t="str">
            <v>Basic</v>
          </cell>
          <cell r="X140" t="str">
            <v>Female</v>
          </cell>
          <cell r="Y140">
            <v>22.043835616438361</v>
          </cell>
          <cell r="AB140" t="str">
            <v>15BasicMale</v>
          </cell>
          <cell r="AC140">
            <v>15</v>
          </cell>
          <cell r="AD140" t="str">
            <v>Basic</v>
          </cell>
          <cell r="AE140" t="str">
            <v>Male</v>
          </cell>
          <cell r="AF140">
            <v>25.556164383561647</v>
          </cell>
        </row>
        <row r="141">
          <cell r="N141" t="str">
            <v>33SilverMale</v>
          </cell>
          <cell r="O141">
            <v>33</v>
          </cell>
          <cell r="P141" t="str">
            <v>Silver</v>
          </cell>
          <cell r="Q141" t="str">
            <v>Male</v>
          </cell>
          <cell r="R141">
            <v>321.88219178082244</v>
          </cell>
          <cell r="U141" t="str">
            <v>37BasicMale</v>
          </cell>
          <cell r="V141">
            <v>37</v>
          </cell>
          <cell r="W141" t="str">
            <v>Basic</v>
          </cell>
          <cell r="X141" t="str">
            <v>Male</v>
          </cell>
          <cell r="Y141">
            <v>12.824657534246576</v>
          </cell>
          <cell r="AB141" t="str">
            <v>15BronzeFemale</v>
          </cell>
          <cell r="AC141">
            <v>15</v>
          </cell>
          <cell r="AD141" t="str">
            <v>Bronze</v>
          </cell>
          <cell r="AE141" t="str">
            <v>Female</v>
          </cell>
          <cell r="AF141">
            <v>0</v>
          </cell>
        </row>
        <row r="142">
          <cell r="N142" t="str">
            <v>34BasicFemale</v>
          </cell>
          <cell r="O142">
            <v>34</v>
          </cell>
          <cell r="P142" t="str">
            <v>Basic</v>
          </cell>
          <cell r="Q142" t="str">
            <v>Female</v>
          </cell>
          <cell r="R142">
            <v>37.657534246575324</v>
          </cell>
          <cell r="U142" t="str">
            <v>37BronzeFemale</v>
          </cell>
          <cell r="V142">
            <v>37</v>
          </cell>
          <cell r="W142" t="str">
            <v>Bronze</v>
          </cell>
          <cell r="X142" t="str">
            <v>Female</v>
          </cell>
          <cell r="Y142">
            <v>0</v>
          </cell>
          <cell r="AB142" t="str">
            <v>15BronzeMale</v>
          </cell>
          <cell r="AC142">
            <v>15</v>
          </cell>
          <cell r="AD142" t="str">
            <v>Bronze</v>
          </cell>
          <cell r="AE142" t="str">
            <v>Male</v>
          </cell>
          <cell r="AF142">
            <v>0</v>
          </cell>
        </row>
        <row r="143">
          <cell r="N143" t="str">
            <v>34BasicMale</v>
          </cell>
          <cell r="O143">
            <v>34</v>
          </cell>
          <cell r="P143" t="str">
            <v>Basic</v>
          </cell>
          <cell r="Q143" t="str">
            <v>Male</v>
          </cell>
          <cell r="R143">
            <v>108.73751777827691</v>
          </cell>
          <cell r="U143" t="str">
            <v>37BronzeMale</v>
          </cell>
          <cell r="V143">
            <v>37</v>
          </cell>
          <cell r="W143" t="str">
            <v>Bronze</v>
          </cell>
          <cell r="X143" t="str">
            <v>Male</v>
          </cell>
          <cell r="Y143">
            <v>0</v>
          </cell>
          <cell r="AB143" t="str">
            <v>15GoldFemale</v>
          </cell>
          <cell r="AC143">
            <v>15</v>
          </cell>
          <cell r="AD143" t="str">
            <v>Gold</v>
          </cell>
          <cell r="AE143" t="str">
            <v>Female</v>
          </cell>
          <cell r="AF143">
            <v>205.4214836439854</v>
          </cell>
        </row>
        <row r="144">
          <cell r="N144" t="str">
            <v>34BronzeFemale</v>
          </cell>
          <cell r="O144">
            <v>34</v>
          </cell>
          <cell r="P144" t="str">
            <v>Bronze</v>
          </cell>
          <cell r="Q144" t="str">
            <v>Female</v>
          </cell>
          <cell r="R144">
            <v>0</v>
          </cell>
          <cell r="U144" t="str">
            <v>37GoldFemale</v>
          </cell>
          <cell r="V144">
            <v>37</v>
          </cell>
          <cell r="W144" t="str">
            <v>Gold</v>
          </cell>
          <cell r="X144" t="str">
            <v>Female</v>
          </cell>
          <cell r="Y144">
            <v>80.446597799236528</v>
          </cell>
          <cell r="AB144" t="str">
            <v>15GoldMale</v>
          </cell>
          <cell r="AC144">
            <v>15</v>
          </cell>
          <cell r="AD144" t="str">
            <v>Gold</v>
          </cell>
          <cell r="AE144" t="str">
            <v>Male</v>
          </cell>
          <cell r="AF144">
            <v>196.11187963170892</v>
          </cell>
        </row>
        <row r="145">
          <cell r="N145" t="str">
            <v>34BronzeMale</v>
          </cell>
          <cell r="O145">
            <v>34</v>
          </cell>
          <cell r="P145" t="str">
            <v>Bronze</v>
          </cell>
          <cell r="Q145" t="str">
            <v>Male</v>
          </cell>
          <cell r="R145">
            <v>0</v>
          </cell>
          <cell r="U145" t="str">
            <v>37GoldMale</v>
          </cell>
          <cell r="V145">
            <v>37</v>
          </cell>
          <cell r="W145" t="str">
            <v>Gold</v>
          </cell>
          <cell r="X145" t="str">
            <v>Male</v>
          </cell>
          <cell r="Y145">
            <v>15.131529306085785</v>
          </cell>
          <cell r="AB145" t="str">
            <v>15GoldUnknown</v>
          </cell>
          <cell r="AC145">
            <v>15</v>
          </cell>
          <cell r="AD145" t="str">
            <v>Gold</v>
          </cell>
          <cell r="AE145" t="str">
            <v>Unknown</v>
          </cell>
          <cell r="AF145">
            <v>0.59085260872819823</v>
          </cell>
        </row>
        <row r="146">
          <cell r="N146" t="str">
            <v>34GoldFemale</v>
          </cell>
          <cell r="O146">
            <v>34</v>
          </cell>
          <cell r="P146" t="str">
            <v>Gold</v>
          </cell>
          <cell r="Q146" t="str">
            <v>Female</v>
          </cell>
          <cell r="R146">
            <v>68.312328767123304</v>
          </cell>
          <cell r="U146" t="str">
            <v>37SilverFemale</v>
          </cell>
          <cell r="V146">
            <v>37</v>
          </cell>
          <cell r="W146" t="str">
            <v>Silver</v>
          </cell>
          <cell r="X146" t="str">
            <v>Female</v>
          </cell>
          <cell r="Y146">
            <v>92.994520547945228</v>
          </cell>
          <cell r="AB146" t="str">
            <v>15SilverFemale</v>
          </cell>
          <cell r="AC146">
            <v>15</v>
          </cell>
          <cell r="AD146" t="str">
            <v>Silver</v>
          </cell>
          <cell r="AE146" t="str">
            <v>Female</v>
          </cell>
          <cell r="AF146">
            <v>177.78082191780811</v>
          </cell>
        </row>
        <row r="147">
          <cell r="N147" t="str">
            <v>34GoldMale</v>
          </cell>
          <cell r="O147">
            <v>34</v>
          </cell>
          <cell r="P147" t="str">
            <v>Gold</v>
          </cell>
          <cell r="Q147" t="str">
            <v>Male</v>
          </cell>
          <cell r="R147">
            <v>285.60135489183301</v>
          </cell>
          <cell r="U147" t="str">
            <v>37SilverMale</v>
          </cell>
          <cell r="V147">
            <v>37</v>
          </cell>
          <cell r="W147" t="str">
            <v>Silver</v>
          </cell>
          <cell r="X147" t="str">
            <v>Male</v>
          </cell>
          <cell r="Y147">
            <v>21.043835616438358</v>
          </cell>
          <cell r="AB147" t="str">
            <v>15SilverMale</v>
          </cell>
          <cell r="AC147">
            <v>15</v>
          </cell>
          <cell r="AD147" t="str">
            <v>Silver</v>
          </cell>
          <cell r="AE147" t="str">
            <v>Male</v>
          </cell>
          <cell r="AF147">
            <v>156.32328767123275</v>
          </cell>
        </row>
        <row r="148">
          <cell r="N148" t="str">
            <v>34SilverFemale</v>
          </cell>
          <cell r="O148">
            <v>34</v>
          </cell>
          <cell r="P148" t="str">
            <v>Silver</v>
          </cell>
          <cell r="Q148" t="str">
            <v>Female</v>
          </cell>
          <cell r="R148">
            <v>76.556164383561637</v>
          </cell>
          <cell r="U148" t="str">
            <v>38BasicFemale</v>
          </cell>
          <cell r="V148">
            <v>38</v>
          </cell>
          <cell r="W148" t="str">
            <v>Basic</v>
          </cell>
          <cell r="X148" t="str">
            <v>Female</v>
          </cell>
          <cell r="Y148">
            <v>21.980821917808225</v>
          </cell>
          <cell r="AB148" t="str">
            <v>16BasicFemale</v>
          </cell>
          <cell r="AC148">
            <v>16</v>
          </cell>
          <cell r="AD148" t="str">
            <v>Basic</v>
          </cell>
          <cell r="AE148" t="str">
            <v>Female</v>
          </cell>
          <cell r="AF148">
            <v>26.032876712328772</v>
          </cell>
        </row>
        <row r="149">
          <cell r="N149" t="str">
            <v>34SilverMale</v>
          </cell>
          <cell r="O149">
            <v>34</v>
          </cell>
          <cell r="P149" t="str">
            <v>Silver</v>
          </cell>
          <cell r="Q149" t="str">
            <v>Male</v>
          </cell>
          <cell r="R149">
            <v>316.9178082191786</v>
          </cell>
          <cell r="U149" t="str">
            <v>38BasicMale</v>
          </cell>
          <cell r="V149">
            <v>38</v>
          </cell>
          <cell r="W149" t="str">
            <v>Basic</v>
          </cell>
          <cell r="X149" t="str">
            <v>Male</v>
          </cell>
          <cell r="Y149">
            <v>3.7534246575342465</v>
          </cell>
          <cell r="AB149" t="str">
            <v>16BasicMale</v>
          </cell>
          <cell r="AC149">
            <v>16</v>
          </cell>
          <cell r="AD149" t="str">
            <v>Basic</v>
          </cell>
          <cell r="AE149" t="str">
            <v>Male</v>
          </cell>
          <cell r="AF149">
            <v>20.789041095890411</v>
          </cell>
        </row>
        <row r="150">
          <cell r="N150" t="str">
            <v>35BasicFemale</v>
          </cell>
          <cell r="O150">
            <v>35</v>
          </cell>
          <cell r="P150" t="str">
            <v>Basic</v>
          </cell>
          <cell r="Q150" t="str">
            <v>Female</v>
          </cell>
          <cell r="R150">
            <v>27.610958904109587</v>
          </cell>
          <cell r="U150" t="str">
            <v>38BronzeFemale</v>
          </cell>
          <cell r="V150">
            <v>38</v>
          </cell>
          <cell r="W150" t="str">
            <v>Bronze</v>
          </cell>
          <cell r="X150" t="str">
            <v>Female</v>
          </cell>
          <cell r="Y150">
            <v>0</v>
          </cell>
          <cell r="AB150" t="str">
            <v>16BronzeFemale</v>
          </cell>
          <cell r="AC150">
            <v>16</v>
          </cell>
          <cell r="AD150" t="str">
            <v>Bronze</v>
          </cell>
          <cell r="AE150" t="str">
            <v>Female</v>
          </cell>
          <cell r="AF150">
            <v>0</v>
          </cell>
        </row>
        <row r="151">
          <cell r="N151" t="str">
            <v>35BasicMale</v>
          </cell>
          <cell r="O151">
            <v>35</v>
          </cell>
          <cell r="P151" t="str">
            <v>Basic</v>
          </cell>
          <cell r="Q151" t="str">
            <v>Male</v>
          </cell>
          <cell r="R151">
            <v>94.734246575342524</v>
          </cell>
          <cell r="U151" t="str">
            <v>38BronzeMale</v>
          </cell>
          <cell r="V151">
            <v>38</v>
          </cell>
          <cell r="W151" t="str">
            <v>Bronze</v>
          </cell>
          <cell r="X151" t="str">
            <v>Male</v>
          </cell>
          <cell r="Y151">
            <v>0</v>
          </cell>
          <cell r="AB151" t="str">
            <v>16BronzeMale</v>
          </cell>
          <cell r="AC151">
            <v>16</v>
          </cell>
          <cell r="AD151" t="str">
            <v>Bronze</v>
          </cell>
          <cell r="AE151" t="str">
            <v>Male</v>
          </cell>
          <cell r="AF151">
            <v>0</v>
          </cell>
        </row>
        <row r="152">
          <cell r="N152" t="str">
            <v>35BronzeFemale</v>
          </cell>
          <cell r="O152">
            <v>35</v>
          </cell>
          <cell r="P152" t="str">
            <v>Bronze</v>
          </cell>
          <cell r="Q152" t="str">
            <v>Female</v>
          </cell>
          <cell r="R152">
            <v>0</v>
          </cell>
          <cell r="U152" t="str">
            <v>38GoldFemale</v>
          </cell>
          <cell r="V152">
            <v>38</v>
          </cell>
          <cell r="W152" t="str">
            <v>Gold</v>
          </cell>
          <cell r="X152" t="str">
            <v>Female</v>
          </cell>
          <cell r="Y152">
            <v>82.786780447638336</v>
          </cell>
          <cell r="AB152" t="str">
            <v>16GoldFemale</v>
          </cell>
          <cell r="AC152">
            <v>16</v>
          </cell>
          <cell r="AD152" t="str">
            <v>Gold</v>
          </cell>
          <cell r="AE152" t="str">
            <v>Female</v>
          </cell>
          <cell r="AF152">
            <v>189.60092821318972</v>
          </cell>
        </row>
        <row r="153">
          <cell r="N153" t="str">
            <v>35BronzeMale</v>
          </cell>
          <cell r="O153">
            <v>35</v>
          </cell>
          <cell r="P153" t="str">
            <v>Bronze</v>
          </cell>
          <cell r="Q153" t="str">
            <v>Male</v>
          </cell>
          <cell r="R153">
            <v>0</v>
          </cell>
          <cell r="U153" t="str">
            <v>38GoldMale</v>
          </cell>
          <cell r="V153">
            <v>38</v>
          </cell>
          <cell r="W153" t="str">
            <v>Gold</v>
          </cell>
          <cell r="X153" t="str">
            <v>Male</v>
          </cell>
          <cell r="Y153">
            <v>14.257534246575341</v>
          </cell>
          <cell r="AB153" t="str">
            <v>16GoldMale</v>
          </cell>
          <cell r="AC153">
            <v>16</v>
          </cell>
          <cell r="AD153" t="str">
            <v>Gold</v>
          </cell>
          <cell r="AE153" t="str">
            <v>Male</v>
          </cell>
          <cell r="AF153">
            <v>182.03356538663073</v>
          </cell>
        </row>
        <row r="154">
          <cell r="N154" t="str">
            <v>35GoldFemale</v>
          </cell>
          <cell r="O154">
            <v>35</v>
          </cell>
          <cell r="P154" t="str">
            <v>Gold</v>
          </cell>
          <cell r="Q154" t="str">
            <v>Female</v>
          </cell>
          <cell r="R154">
            <v>68.200935698779872</v>
          </cell>
          <cell r="U154" t="str">
            <v>38SilverFemale</v>
          </cell>
          <cell r="V154">
            <v>38</v>
          </cell>
          <cell r="W154" t="str">
            <v>Silver</v>
          </cell>
          <cell r="X154" t="str">
            <v>Female</v>
          </cell>
          <cell r="Y154">
            <v>88.183561643835688</v>
          </cell>
          <cell r="AB154" t="str">
            <v>16GoldUnknown</v>
          </cell>
          <cell r="AC154">
            <v>16</v>
          </cell>
          <cell r="AD154" t="str">
            <v>Gold</v>
          </cell>
          <cell r="AE154" t="str">
            <v>Unknown</v>
          </cell>
          <cell r="AF154">
            <v>0.16939890710382513</v>
          </cell>
        </row>
        <row r="155">
          <cell r="N155" t="str">
            <v>35GoldMale</v>
          </cell>
          <cell r="O155">
            <v>35</v>
          </cell>
          <cell r="P155" t="str">
            <v>Gold</v>
          </cell>
          <cell r="Q155" t="str">
            <v>Male</v>
          </cell>
          <cell r="R155">
            <v>257.67157721386343</v>
          </cell>
          <cell r="U155" t="str">
            <v>38SilverMale</v>
          </cell>
          <cell r="V155">
            <v>38</v>
          </cell>
          <cell r="W155" t="str">
            <v>Silver</v>
          </cell>
          <cell r="X155" t="str">
            <v>Male</v>
          </cell>
          <cell r="Y155">
            <v>17.512328767123286</v>
          </cell>
          <cell r="AB155" t="str">
            <v>16SilverFemale</v>
          </cell>
          <cell r="AC155">
            <v>16</v>
          </cell>
          <cell r="AD155" t="str">
            <v>Silver</v>
          </cell>
          <cell r="AE155" t="str">
            <v>Female</v>
          </cell>
          <cell r="AF155">
            <v>138.21917808219175</v>
          </cell>
        </row>
        <row r="156">
          <cell r="N156" t="str">
            <v>35SilverFemale</v>
          </cell>
          <cell r="O156">
            <v>35</v>
          </cell>
          <cell r="P156" t="str">
            <v>Silver</v>
          </cell>
          <cell r="Q156" t="str">
            <v>Female</v>
          </cell>
          <cell r="R156">
            <v>65.569863013698622</v>
          </cell>
          <cell r="U156" t="str">
            <v>39BasicFemale</v>
          </cell>
          <cell r="V156">
            <v>39</v>
          </cell>
          <cell r="W156" t="str">
            <v>Basic</v>
          </cell>
          <cell r="X156" t="str">
            <v>Female</v>
          </cell>
          <cell r="Y156">
            <v>14.117808219178087</v>
          </cell>
          <cell r="AB156" t="str">
            <v>16SilverMale</v>
          </cell>
          <cell r="AC156">
            <v>16</v>
          </cell>
          <cell r="AD156" t="str">
            <v>Silver</v>
          </cell>
          <cell r="AE156" t="str">
            <v>Male</v>
          </cell>
          <cell r="AF156">
            <v>142.09589041095884</v>
          </cell>
        </row>
        <row r="157">
          <cell r="N157" t="str">
            <v>35SilverMale</v>
          </cell>
          <cell r="O157">
            <v>35</v>
          </cell>
          <cell r="P157" t="str">
            <v>Silver</v>
          </cell>
          <cell r="Q157" t="str">
            <v>Male</v>
          </cell>
          <cell r="R157">
            <v>285.60547945205519</v>
          </cell>
          <cell r="U157" t="str">
            <v>39BasicMale</v>
          </cell>
          <cell r="V157">
            <v>39</v>
          </cell>
          <cell r="W157" t="str">
            <v>Basic</v>
          </cell>
          <cell r="X157" t="str">
            <v>Male</v>
          </cell>
          <cell r="Y157">
            <v>3.4986301369863018</v>
          </cell>
          <cell r="AB157" t="str">
            <v>17BasicFemale</v>
          </cell>
          <cell r="AC157">
            <v>17</v>
          </cell>
          <cell r="AD157" t="str">
            <v>Basic</v>
          </cell>
          <cell r="AE157" t="str">
            <v>Female</v>
          </cell>
          <cell r="AF157">
            <v>13.673972602739727</v>
          </cell>
        </row>
        <row r="158">
          <cell r="N158" t="str">
            <v>36BasicFemale</v>
          </cell>
          <cell r="O158">
            <v>36</v>
          </cell>
          <cell r="P158" t="str">
            <v>Basic</v>
          </cell>
          <cell r="Q158" t="str">
            <v>Female</v>
          </cell>
          <cell r="R158">
            <v>24.375342465753427</v>
          </cell>
          <cell r="U158" t="str">
            <v>39BronzeFemale</v>
          </cell>
          <cell r="V158">
            <v>39</v>
          </cell>
          <cell r="W158" t="str">
            <v>Bronze</v>
          </cell>
          <cell r="X158" t="str">
            <v>Female</v>
          </cell>
          <cell r="Y158">
            <v>0</v>
          </cell>
          <cell r="AB158" t="str">
            <v>17BasicMale</v>
          </cell>
          <cell r="AC158">
            <v>17</v>
          </cell>
          <cell r="AD158" t="str">
            <v>Basic</v>
          </cell>
          <cell r="AE158" t="str">
            <v>Male</v>
          </cell>
          <cell r="AF158">
            <v>15.424657534246579</v>
          </cell>
        </row>
        <row r="159">
          <cell r="N159" t="str">
            <v>36BasicMale</v>
          </cell>
          <cell r="O159">
            <v>36</v>
          </cell>
          <cell r="P159" t="str">
            <v>Basic</v>
          </cell>
          <cell r="Q159" t="str">
            <v>Male</v>
          </cell>
          <cell r="R159">
            <v>104.23835616438365</v>
          </cell>
          <cell r="U159" t="str">
            <v>39BronzeMale</v>
          </cell>
          <cell r="V159">
            <v>39</v>
          </cell>
          <cell r="W159" t="str">
            <v>Bronze</v>
          </cell>
          <cell r="X159" t="str">
            <v>Male</v>
          </cell>
          <cell r="Y159">
            <v>0</v>
          </cell>
          <cell r="AB159" t="str">
            <v>17BronzeFemale</v>
          </cell>
          <cell r="AC159">
            <v>17</v>
          </cell>
          <cell r="AD159" t="str">
            <v>Bronze</v>
          </cell>
          <cell r="AE159" t="str">
            <v>Female</v>
          </cell>
          <cell r="AF159">
            <v>0</v>
          </cell>
        </row>
        <row r="160">
          <cell r="N160" t="str">
            <v>36BronzeFemale</v>
          </cell>
          <cell r="O160">
            <v>36</v>
          </cell>
          <cell r="P160" t="str">
            <v>Bronze</v>
          </cell>
          <cell r="Q160" t="str">
            <v>Female</v>
          </cell>
          <cell r="R160">
            <v>0</v>
          </cell>
          <cell r="U160" t="str">
            <v>39GoldFemale</v>
          </cell>
          <cell r="V160">
            <v>39</v>
          </cell>
          <cell r="W160" t="str">
            <v>Gold</v>
          </cell>
          <cell r="X160" t="str">
            <v>Female</v>
          </cell>
          <cell r="Y160">
            <v>78.609371958979011</v>
          </cell>
          <cell r="AB160" t="str">
            <v>17BronzeMale</v>
          </cell>
          <cell r="AC160">
            <v>17</v>
          </cell>
          <cell r="AD160" t="str">
            <v>Bronze</v>
          </cell>
          <cell r="AE160" t="str">
            <v>Male</v>
          </cell>
          <cell r="AF160">
            <v>0</v>
          </cell>
        </row>
        <row r="161">
          <cell r="N161" t="str">
            <v>36BronzeMale</v>
          </cell>
          <cell r="O161">
            <v>36</v>
          </cell>
          <cell r="P161" t="str">
            <v>Bronze</v>
          </cell>
          <cell r="Q161" t="str">
            <v>Male</v>
          </cell>
          <cell r="R161">
            <v>0</v>
          </cell>
          <cell r="U161" t="str">
            <v>39GoldMale</v>
          </cell>
          <cell r="V161">
            <v>39</v>
          </cell>
          <cell r="W161" t="str">
            <v>Gold</v>
          </cell>
          <cell r="X161" t="str">
            <v>Male</v>
          </cell>
          <cell r="Y161">
            <v>16.359136162886443</v>
          </cell>
          <cell r="AB161" t="str">
            <v>17GoldFemale</v>
          </cell>
          <cell r="AC161">
            <v>17</v>
          </cell>
          <cell r="AD161" t="str">
            <v>Gold</v>
          </cell>
          <cell r="AE161" t="str">
            <v>Female</v>
          </cell>
          <cell r="AF161">
            <v>169.57694438206454</v>
          </cell>
        </row>
        <row r="162">
          <cell r="N162" t="str">
            <v>36GoldFemale</v>
          </cell>
          <cell r="O162">
            <v>36</v>
          </cell>
          <cell r="P162" t="str">
            <v>Gold</v>
          </cell>
          <cell r="Q162" t="str">
            <v>Female</v>
          </cell>
          <cell r="R162">
            <v>54.441095890410963</v>
          </cell>
          <cell r="U162" t="str">
            <v>39SilverFemale</v>
          </cell>
          <cell r="V162">
            <v>39</v>
          </cell>
          <cell r="W162" t="str">
            <v>Silver</v>
          </cell>
          <cell r="X162" t="str">
            <v>Female</v>
          </cell>
          <cell r="Y162">
            <v>82.536986301369893</v>
          </cell>
          <cell r="AB162" t="str">
            <v>17GoldMale</v>
          </cell>
          <cell r="AC162">
            <v>17</v>
          </cell>
          <cell r="AD162" t="str">
            <v>Gold</v>
          </cell>
          <cell r="AE162" t="str">
            <v>Male</v>
          </cell>
          <cell r="AF162">
            <v>153.04578935549074</v>
          </cell>
        </row>
        <row r="163">
          <cell r="N163" t="str">
            <v>36GoldMale</v>
          </cell>
          <cell r="O163">
            <v>36</v>
          </cell>
          <cell r="P163" t="str">
            <v>Gold</v>
          </cell>
          <cell r="Q163" t="str">
            <v>Male</v>
          </cell>
          <cell r="R163">
            <v>248.18136088030556</v>
          </cell>
          <cell r="U163" t="str">
            <v>39SilverMale</v>
          </cell>
          <cell r="V163">
            <v>39</v>
          </cell>
          <cell r="W163" t="str">
            <v>Silver</v>
          </cell>
          <cell r="X163" t="str">
            <v>Male</v>
          </cell>
          <cell r="Y163">
            <v>22.523287671232879</v>
          </cell>
          <cell r="AB163" t="str">
            <v>17GoldUnknown</v>
          </cell>
          <cell r="AC163">
            <v>17</v>
          </cell>
          <cell r="AD163" t="str">
            <v>Gold</v>
          </cell>
          <cell r="AE163" t="str">
            <v>Unknown</v>
          </cell>
          <cell r="AF163">
            <v>0.16939890710382513</v>
          </cell>
        </row>
        <row r="164">
          <cell r="N164" t="str">
            <v>36SilverFemale</v>
          </cell>
          <cell r="O164">
            <v>36</v>
          </cell>
          <cell r="P164" t="str">
            <v>Silver</v>
          </cell>
          <cell r="Q164" t="str">
            <v>Female</v>
          </cell>
          <cell r="R164">
            <v>53.323287671232876</v>
          </cell>
          <cell r="U164" t="str">
            <v>40BasicFemale</v>
          </cell>
          <cell r="V164">
            <v>40</v>
          </cell>
          <cell r="W164" t="str">
            <v>Basic</v>
          </cell>
          <cell r="X164" t="str">
            <v>Female</v>
          </cell>
          <cell r="Y164">
            <v>13.509589041095893</v>
          </cell>
          <cell r="AB164" t="str">
            <v>17SilverFemale</v>
          </cell>
          <cell r="AC164">
            <v>17</v>
          </cell>
          <cell r="AD164" t="str">
            <v>Silver</v>
          </cell>
          <cell r="AE164" t="str">
            <v>Female</v>
          </cell>
          <cell r="AF164">
            <v>116.43561643835613</v>
          </cell>
        </row>
        <row r="165">
          <cell r="N165" t="str">
            <v>36SilverMale</v>
          </cell>
          <cell r="O165">
            <v>36</v>
          </cell>
          <cell r="P165" t="str">
            <v>Silver</v>
          </cell>
          <cell r="Q165" t="str">
            <v>Male</v>
          </cell>
          <cell r="R165">
            <v>299.55068493150725</v>
          </cell>
          <cell r="U165" t="str">
            <v>40BasicMale</v>
          </cell>
          <cell r="V165">
            <v>40</v>
          </cell>
          <cell r="W165" t="str">
            <v>Basic</v>
          </cell>
          <cell r="X165" t="str">
            <v>Male</v>
          </cell>
          <cell r="Y165">
            <v>5.1534246575342459</v>
          </cell>
          <cell r="AB165" t="str">
            <v>17SilverMale</v>
          </cell>
          <cell r="AC165">
            <v>17</v>
          </cell>
          <cell r="AD165" t="str">
            <v>Silver</v>
          </cell>
          <cell r="AE165" t="str">
            <v>Male</v>
          </cell>
          <cell r="AF165">
            <v>124.73972602739718</v>
          </cell>
        </row>
        <row r="166">
          <cell r="N166" t="str">
            <v>37BasicFemale</v>
          </cell>
          <cell r="O166">
            <v>37</v>
          </cell>
          <cell r="P166" t="str">
            <v>Basic</v>
          </cell>
          <cell r="Q166" t="str">
            <v>Female</v>
          </cell>
          <cell r="R166">
            <v>19.706849315068489</v>
          </cell>
          <cell r="U166" t="str">
            <v>40BronzeFemale</v>
          </cell>
          <cell r="V166">
            <v>40</v>
          </cell>
          <cell r="W166" t="str">
            <v>Bronze</v>
          </cell>
          <cell r="X166" t="str">
            <v>Female</v>
          </cell>
          <cell r="Y166">
            <v>0</v>
          </cell>
          <cell r="AB166" t="str">
            <v>18BasicFemale</v>
          </cell>
          <cell r="AC166">
            <v>18</v>
          </cell>
          <cell r="AD166" t="str">
            <v>Basic</v>
          </cell>
          <cell r="AE166" t="str">
            <v>Female</v>
          </cell>
          <cell r="AF166">
            <v>6.5342465753424657</v>
          </cell>
        </row>
        <row r="167">
          <cell r="N167" t="str">
            <v>37BasicMale</v>
          </cell>
          <cell r="O167">
            <v>37</v>
          </cell>
          <cell r="P167" t="str">
            <v>Basic</v>
          </cell>
          <cell r="Q167" t="str">
            <v>Male</v>
          </cell>
          <cell r="R167">
            <v>117.26301369863029</v>
          </cell>
          <cell r="U167" t="str">
            <v>40BronzeMale</v>
          </cell>
          <cell r="V167">
            <v>40</v>
          </cell>
          <cell r="W167" t="str">
            <v>Bronze</v>
          </cell>
          <cell r="X167" t="str">
            <v>Male</v>
          </cell>
          <cell r="Y167">
            <v>0</v>
          </cell>
          <cell r="AB167" t="str">
            <v>18BasicMale</v>
          </cell>
          <cell r="AC167">
            <v>18</v>
          </cell>
          <cell r="AD167" t="str">
            <v>Basic</v>
          </cell>
          <cell r="AE167" t="str">
            <v>Male</v>
          </cell>
          <cell r="AF167">
            <v>6.1369863013698627</v>
          </cell>
        </row>
        <row r="168">
          <cell r="N168" t="str">
            <v>37BronzeFemale</v>
          </cell>
          <cell r="O168">
            <v>37</v>
          </cell>
          <cell r="P168" t="str">
            <v>Bronze</v>
          </cell>
          <cell r="Q168" t="str">
            <v>Female</v>
          </cell>
          <cell r="R168">
            <v>0</v>
          </cell>
          <cell r="U168" t="str">
            <v>40GoldFemale</v>
          </cell>
          <cell r="V168">
            <v>40</v>
          </cell>
          <cell r="W168" t="str">
            <v>Gold</v>
          </cell>
          <cell r="X168" t="str">
            <v>Female</v>
          </cell>
          <cell r="Y168">
            <v>69.006864286249026</v>
          </cell>
          <cell r="AB168" t="str">
            <v>18BronzeFemale</v>
          </cell>
          <cell r="AC168">
            <v>18</v>
          </cell>
          <cell r="AD168" t="str">
            <v>Bronze</v>
          </cell>
          <cell r="AE168" t="str">
            <v>Female</v>
          </cell>
          <cell r="AF168">
            <v>0</v>
          </cell>
        </row>
        <row r="169">
          <cell r="N169" t="str">
            <v>37BronzeMale</v>
          </cell>
          <cell r="O169">
            <v>37</v>
          </cell>
          <cell r="P169" t="str">
            <v>Bronze</v>
          </cell>
          <cell r="Q169" t="str">
            <v>Male</v>
          </cell>
          <cell r="R169">
            <v>0</v>
          </cell>
          <cell r="U169" t="str">
            <v>40GoldMale</v>
          </cell>
          <cell r="V169">
            <v>40</v>
          </cell>
          <cell r="W169" t="str">
            <v>Gold</v>
          </cell>
          <cell r="X169" t="str">
            <v>Male</v>
          </cell>
          <cell r="Y169">
            <v>10.172602739726027</v>
          </cell>
          <cell r="AB169" t="str">
            <v>18BronzeMale</v>
          </cell>
          <cell r="AC169">
            <v>18</v>
          </cell>
          <cell r="AD169" t="str">
            <v>Bronze</v>
          </cell>
          <cell r="AE169" t="str">
            <v>Male</v>
          </cell>
          <cell r="AF169">
            <v>0</v>
          </cell>
        </row>
        <row r="170">
          <cell r="N170" t="str">
            <v>37GoldFemale</v>
          </cell>
          <cell r="O170">
            <v>37</v>
          </cell>
          <cell r="P170" t="str">
            <v>Gold</v>
          </cell>
          <cell r="Q170" t="str">
            <v>Female</v>
          </cell>
          <cell r="R170">
            <v>45.602051051725432</v>
          </cell>
          <cell r="U170" t="str">
            <v>40SilverFemale</v>
          </cell>
          <cell r="V170">
            <v>40</v>
          </cell>
          <cell r="W170" t="str">
            <v>Silver</v>
          </cell>
          <cell r="X170" t="str">
            <v>Female</v>
          </cell>
          <cell r="Y170">
            <v>74.323287671232919</v>
          </cell>
          <cell r="AB170" t="str">
            <v>18GoldFemale</v>
          </cell>
          <cell r="AC170">
            <v>18</v>
          </cell>
          <cell r="AD170" t="str">
            <v>Gold</v>
          </cell>
          <cell r="AE170" t="str">
            <v>Female</v>
          </cell>
          <cell r="AF170">
            <v>110.32649150385512</v>
          </cell>
        </row>
        <row r="171">
          <cell r="N171" t="str">
            <v>37GoldMale</v>
          </cell>
          <cell r="O171">
            <v>37</v>
          </cell>
          <cell r="P171" t="str">
            <v>Gold</v>
          </cell>
          <cell r="Q171" t="str">
            <v>Male</v>
          </cell>
          <cell r="R171">
            <v>240.83794445692044</v>
          </cell>
          <cell r="U171" t="str">
            <v>40SilverMale</v>
          </cell>
          <cell r="V171">
            <v>40</v>
          </cell>
          <cell r="W171" t="str">
            <v>Silver</v>
          </cell>
          <cell r="X171" t="str">
            <v>Male</v>
          </cell>
          <cell r="Y171">
            <v>16.030136986301372</v>
          </cell>
          <cell r="AB171" t="str">
            <v>18GoldMale</v>
          </cell>
          <cell r="AC171">
            <v>18</v>
          </cell>
          <cell r="AD171" t="str">
            <v>Gold</v>
          </cell>
          <cell r="AE171" t="str">
            <v>Male</v>
          </cell>
          <cell r="AF171">
            <v>101.42968036529687</v>
          </cell>
        </row>
        <row r="172">
          <cell r="N172" t="str">
            <v>37SilverFemale</v>
          </cell>
          <cell r="O172">
            <v>37</v>
          </cell>
          <cell r="P172" t="str">
            <v>Silver</v>
          </cell>
          <cell r="Q172" t="str">
            <v>Female</v>
          </cell>
          <cell r="R172">
            <v>45.386301369863013</v>
          </cell>
          <cell r="U172" t="str">
            <v>41BasicFemale</v>
          </cell>
          <cell r="V172">
            <v>41</v>
          </cell>
          <cell r="W172" t="str">
            <v>Basic</v>
          </cell>
          <cell r="X172" t="str">
            <v>Female</v>
          </cell>
          <cell r="Y172">
            <v>10.153424657534249</v>
          </cell>
          <cell r="AB172" t="str">
            <v>18GoldUnknown</v>
          </cell>
          <cell r="AC172">
            <v>18</v>
          </cell>
          <cell r="AD172" t="str">
            <v>Gold</v>
          </cell>
          <cell r="AE172" t="str">
            <v>Unknown</v>
          </cell>
          <cell r="AF172">
            <v>8.3360655737704921</v>
          </cell>
        </row>
        <row r="173">
          <cell r="N173" t="str">
            <v>37SilverMale</v>
          </cell>
          <cell r="O173">
            <v>37</v>
          </cell>
          <cell r="P173" t="str">
            <v>Silver</v>
          </cell>
          <cell r="Q173" t="str">
            <v>Male</v>
          </cell>
          <cell r="R173">
            <v>264.99178082191781</v>
          </cell>
          <cell r="U173" t="str">
            <v>41BasicMale</v>
          </cell>
          <cell r="V173">
            <v>41</v>
          </cell>
          <cell r="W173" t="str">
            <v>Basic</v>
          </cell>
          <cell r="X173" t="str">
            <v>Male</v>
          </cell>
          <cell r="Y173">
            <v>4.3999999999999995</v>
          </cell>
          <cell r="AB173" t="str">
            <v>18SilverFemale</v>
          </cell>
          <cell r="AC173">
            <v>18</v>
          </cell>
          <cell r="AD173" t="str">
            <v>Silver</v>
          </cell>
          <cell r="AE173" t="str">
            <v>Female</v>
          </cell>
          <cell r="AF173">
            <v>96.09863013698633</v>
          </cell>
        </row>
        <row r="174">
          <cell r="N174" t="str">
            <v>38BasicFemale</v>
          </cell>
          <cell r="O174">
            <v>38</v>
          </cell>
          <cell r="P174" t="str">
            <v>Basic</v>
          </cell>
          <cell r="Q174" t="str">
            <v>Female</v>
          </cell>
          <cell r="R174">
            <v>15.079452054794521</v>
          </cell>
          <cell r="U174" t="str">
            <v>41BronzeFemale</v>
          </cell>
          <cell r="V174">
            <v>41</v>
          </cell>
          <cell r="W174" t="str">
            <v>Bronze</v>
          </cell>
          <cell r="X174" t="str">
            <v>Female</v>
          </cell>
          <cell r="Y174">
            <v>0</v>
          </cell>
          <cell r="AB174" t="str">
            <v>18SilverMale</v>
          </cell>
          <cell r="AC174">
            <v>18</v>
          </cell>
          <cell r="AD174" t="str">
            <v>Silver</v>
          </cell>
          <cell r="AE174" t="str">
            <v>Male</v>
          </cell>
          <cell r="AF174">
            <v>93.841095890410912</v>
          </cell>
        </row>
        <row r="175">
          <cell r="N175" t="str">
            <v>38BasicMale</v>
          </cell>
          <cell r="O175">
            <v>38</v>
          </cell>
          <cell r="P175" t="str">
            <v>Basic</v>
          </cell>
          <cell r="Q175" t="str">
            <v>Male</v>
          </cell>
          <cell r="R175">
            <v>86.635616438356223</v>
          </cell>
          <cell r="U175" t="str">
            <v>41BronzeMale</v>
          </cell>
          <cell r="V175">
            <v>41</v>
          </cell>
          <cell r="W175" t="str">
            <v>Bronze</v>
          </cell>
          <cell r="X175" t="str">
            <v>Male</v>
          </cell>
          <cell r="Y175">
            <v>0</v>
          </cell>
          <cell r="AB175" t="str">
            <v>19BasicFemale</v>
          </cell>
          <cell r="AC175">
            <v>19</v>
          </cell>
          <cell r="AD175" t="str">
            <v>Basic</v>
          </cell>
          <cell r="AE175" t="str">
            <v>Female</v>
          </cell>
          <cell r="AF175">
            <v>1.9643835616438357</v>
          </cell>
        </row>
        <row r="176">
          <cell r="N176" t="str">
            <v>38BasicUnknown</v>
          </cell>
          <cell r="O176">
            <v>38</v>
          </cell>
          <cell r="P176" t="str">
            <v>Basic</v>
          </cell>
          <cell r="Q176" t="str">
            <v>Unknown</v>
          </cell>
          <cell r="R176">
            <v>0.58630136986301373</v>
          </cell>
          <cell r="U176" t="str">
            <v>41GoldFemale</v>
          </cell>
          <cell r="V176">
            <v>41</v>
          </cell>
          <cell r="W176" t="str">
            <v>Gold</v>
          </cell>
          <cell r="X176" t="str">
            <v>Female</v>
          </cell>
          <cell r="Y176">
            <v>62.954375327494574</v>
          </cell>
          <cell r="AB176" t="str">
            <v>19BasicMale</v>
          </cell>
          <cell r="AC176">
            <v>19</v>
          </cell>
          <cell r="AD176" t="str">
            <v>Basic</v>
          </cell>
          <cell r="AE176" t="str">
            <v>Male</v>
          </cell>
          <cell r="AF176">
            <v>4.5671232876712331</v>
          </cell>
        </row>
        <row r="177">
          <cell r="N177" t="str">
            <v>38BronzeFemale</v>
          </cell>
          <cell r="O177">
            <v>38</v>
          </cell>
          <cell r="P177" t="str">
            <v>Bronze</v>
          </cell>
          <cell r="Q177" t="str">
            <v>Female</v>
          </cell>
          <cell r="R177">
            <v>0</v>
          </cell>
          <cell r="U177" t="str">
            <v>41GoldMale</v>
          </cell>
          <cell r="V177">
            <v>41</v>
          </cell>
          <cell r="W177" t="str">
            <v>Gold</v>
          </cell>
          <cell r="X177" t="str">
            <v>Male</v>
          </cell>
          <cell r="Y177">
            <v>6.0047907777528255</v>
          </cell>
          <cell r="AB177" t="str">
            <v>19BronzeFemale</v>
          </cell>
          <cell r="AC177">
            <v>19</v>
          </cell>
          <cell r="AD177" t="str">
            <v>Bronze</v>
          </cell>
          <cell r="AE177" t="str">
            <v>Female</v>
          </cell>
          <cell r="AF177">
            <v>0</v>
          </cell>
        </row>
        <row r="178">
          <cell r="N178" t="str">
            <v>38BronzeMale</v>
          </cell>
          <cell r="O178">
            <v>38</v>
          </cell>
          <cell r="P178" t="str">
            <v>Bronze</v>
          </cell>
          <cell r="Q178" t="str">
            <v>Male</v>
          </cell>
          <cell r="R178">
            <v>0</v>
          </cell>
          <cell r="U178" t="str">
            <v>41SilverFemale</v>
          </cell>
          <cell r="V178">
            <v>41</v>
          </cell>
          <cell r="W178" t="str">
            <v>Silver</v>
          </cell>
          <cell r="X178" t="str">
            <v>Female</v>
          </cell>
          <cell r="Y178">
            <v>59.895890410958891</v>
          </cell>
          <cell r="AB178" t="str">
            <v>19GoldFemale</v>
          </cell>
          <cell r="AC178">
            <v>19</v>
          </cell>
          <cell r="AD178" t="str">
            <v>Gold</v>
          </cell>
          <cell r="AE178" t="str">
            <v>Female</v>
          </cell>
          <cell r="AF178">
            <v>65.509589041095907</v>
          </cell>
        </row>
        <row r="179">
          <cell r="N179" t="str">
            <v>38GoldFemale</v>
          </cell>
          <cell r="O179">
            <v>38</v>
          </cell>
          <cell r="P179" t="str">
            <v>Gold</v>
          </cell>
          <cell r="Q179" t="str">
            <v>Female</v>
          </cell>
          <cell r="R179">
            <v>33.579684108091918</v>
          </cell>
          <cell r="U179" t="str">
            <v>41SilverMale</v>
          </cell>
          <cell r="V179">
            <v>41</v>
          </cell>
          <cell r="W179" t="str">
            <v>Silver</v>
          </cell>
          <cell r="X179" t="str">
            <v>Male</v>
          </cell>
          <cell r="Y179">
            <v>3.7397260273972606</v>
          </cell>
          <cell r="AB179" t="str">
            <v>19GoldMale</v>
          </cell>
          <cell r="AC179">
            <v>19</v>
          </cell>
          <cell r="AD179" t="str">
            <v>Gold</v>
          </cell>
          <cell r="AE179" t="str">
            <v>Male</v>
          </cell>
          <cell r="AF179">
            <v>67.683112508421303</v>
          </cell>
        </row>
        <row r="180">
          <cell r="N180" t="str">
            <v>38GoldMale</v>
          </cell>
          <cell r="O180">
            <v>38</v>
          </cell>
          <cell r="P180" t="str">
            <v>Gold</v>
          </cell>
          <cell r="Q180" t="str">
            <v>Male</v>
          </cell>
          <cell r="R180">
            <v>230.20353319859288</v>
          </cell>
          <cell r="U180" t="str">
            <v>42BasicFemale</v>
          </cell>
          <cell r="V180">
            <v>42</v>
          </cell>
          <cell r="W180" t="str">
            <v>Basic</v>
          </cell>
          <cell r="X180" t="str">
            <v>Female</v>
          </cell>
          <cell r="Y180">
            <v>18.542465753424668</v>
          </cell>
          <cell r="AB180" t="str">
            <v>19GoldUnknown</v>
          </cell>
          <cell r="AC180">
            <v>19</v>
          </cell>
          <cell r="AD180" t="str">
            <v>Gold</v>
          </cell>
          <cell r="AE180" t="str">
            <v>Unknown</v>
          </cell>
          <cell r="AF180">
            <v>15</v>
          </cell>
        </row>
        <row r="181">
          <cell r="N181" t="str">
            <v>38SilverFemale</v>
          </cell>
          <cell r="O181">
            <v>38</v>
          </cell>
          <cell r="P181" t="str">
            <v>Silver</v>
          </cell>
          <cell r="Q181" t="str">
            <v>Female</v>
          </cell>
          <cell r="R181">
            <v>43.432876712328785</v>
          </cell>
          <cell r="U181" t="str">
            <v>42BasicMale</v>
          </cell>
          <cell r="V181">
            <v>42</v>
          </cell>
          <cell r="W181" t="str">
            <v>Basic</v>
          </cell>
          <cell r="X181" t="str">
            <v>Male</v>
          </cell>
          <cell r="Y181">
            <v>0</v>
          </cell>
          <cell r="AB181" t="str">
            <v>19SilverFemale</v>
          </cell>
          <cell r="AC181">
            <v>19</v>
          </cell>
          <cell r="AD181" t="str">
            <v>Silver</v>
          </cell>
          <cell r="AE181" t="str">
            <v>Female</v>
          </cell>
          <cell r="AF181">
            <v>42.120547945205459</v>
          </cell>
        </row>
        <row r="182">
          <cell r="N182" t="str">
            <v>38SilverMale</v>
          </cell>
          <cell r="O182">
            <v>38</v>
          </cell>
          <cell r="P182" t="str">
            <v>Silver</v>
          </cell>
          <cell r="Q182" t="str">
            <v>Male</v>
          </cell>
          <cell r="R182">
            <v>288.29863013698673</v>
          </cell>
          <cell r="U182" t="str">
            <v>42BronzeMale</v>
          </cell>
          <cell r="V182">
            <v>42</v>
          </cell>
          <cell r="W182" t="str">
            <v>Bronze</v>
          </cell>
          <cell r="X182" t="str">
            <v>Male</v>
          </cell>
          <cell r="Y182">
            <v>0</v>
          </cell>
          <cell r="AB182" t="str">
            <v>19SilverMale</v>
          </cell>
          <cell r="AC182">
            <v>19</v>
          </cell>
          <cell r="AD182" t="str">
            <v>Silver</v>
          </cell>
          <cell r="AE182" t="str">
            <v>Male</v>
          </cell>
          <cell r="AF182">
            <v>52.997260273972621</v>
          </cell>
        </row>
        <row r="183">
          <cell r="N183" t="str">
            <v>39BasicFemale</v>
          </cell>
          <cell r="O183">
            <v>39</v>
          </cell>
          <cell r="P183" t="str">
            <v>Basic</v>
          </cell>
          <cell r="Q183" t="str">
            <v>Female</v>
          </cell>
          <cell r="R183">
            <v>13.046575342465751</v>
          </cell>
          <cell r="U183" t="str">
            <v>42GoldFemale</v>
          </cell>
          <cell r="V183">
            <v>42</v>
          </cell>
          <cell r="W183" t="str">
            <v>Gold</v>
          </cell>
          <cell r="X183" t="str">
            <v>Female</v>
          </cell>
          <cell r="Y183">
            <v>52.49682610973877</v>
          </cell>
          <cell r="AB183" t="str">
            <v>20BasicFemale</v>
          </cell>
          <cell r="AC183">
            <v>20</v>
          </cell>
          <cell r="AD183" t="str">
            <v>Basic</v>
          </cell>
          <cell r="AE183" t="str">
            <v>Female</v>
          </cell>
          <cell r="AF183">
            <v>1.8328767123287673</v>
          </cell>
        </row>
        <row r="184">
          <cell r="N184" t="str">
            <v>39BasicMale</v>
          </cell>
          <cell r="O184">
            <v>39</v>
          </cell>
          <cell r="P184" t="str">
            <v>Basic</v>
          </cell>
          <cell r="Q184" t="str">
            <v>Male</v>
          </cell>
          <cell r="R184">
            <v>77.106849315068558</v>
          </cell>
          <cell r="U184" t="str">
            <v>42GoldMale</v>
          </cell>
          <cell r="V184">
            <v>42</v>
          </cell>
          <cell r="W184" t="str">
            <v>Gold</v>
          </cell>
          <cell r="X184" t="str">
            <v>Male</v>
          </cell>
          <cell r="Y184">
            <v>2.9315068493150687</v>
          </cell>
          <cell r="AB184" t="str">
            <v>20BasicMale</v>
          </cell>
          <cell r="AC184">
            <v>20</v>
          </cell>
          <cell r="AD184" t="str">
            <v>Basic</v>
          </cell>
          <cell r="AE184" t="str">
            <v>Male</v>
          </cell>
          <cell r="AF184">
            <v>0</v>
          </cell>
        </row>
        <row r="185">
          <cell r="N185" t="str">
            <v>39BronzeFemale</v>
          </cell>
          <cell r="O185">
            <v>39</v>
          </cell>
          <cell r="P185" t="str">
            <v>Bronze</v>
          </cell>
          <cell r="Q185" t="str">
            <v>Female</v>
          </cell>
          <cell r="R185">
            <v>0</v>
          </cell>
          <cell r="U185" t="str">
            <v>42SilverFemale</v>
          </cell>
          <cell r="V185">
            <v>42</v>
          </cell>
          <cell r="W185" t="str">
            <v>Silver</v>
          </cell>
          <cell r="X185" t="str">
            <v>Female</v>
          </cell>
          <cell r="Y185">
            <v>55.010958904109614</v>
          </cell>
          <cell r="AB185" t="str">
            <v>20GoldFemale</v>
          </cell>
          <cell r="AC185">
            <v>20</v>
          </cell>
          <cell r="AD185" t="str">
            <v>Gold</v>
          </cell>
          <cell r="AE185" t="str">
            <v>Female</v>
          </cell>
          <cell r="AF185">
            <v>20.545205479452051</v>
          </cell>
        </row>
        <row r="186">
          <cell r="N186" t="str">
            <v>39BronzeMale</v>
          </cell>
          <cell r="O186">
            <v>39</v>
          </cell>
          <cell r="P186" t="str">
            <v>Bronze</v>
          </cell>
          <cell r="Q186" t="str">
            <v>Male</v>
          </cell>
          <cell r="R186">
            <v>0</v>
          </cell>
          <cell r="U186" t="str">
            <v>42SilverMale</v>
          </cell>
          <cell r="V186">
            <v>42</v>
          </cell>
          <cell r="W186" t="str">
            <v>Silver</v>
          </cell>
          <cell r="X186" t="str">
            <v>Male</v>
          </cell>
          <cell r="Y186">
            <v>4.2219178082191782</v>
          </cell>
          <cell r="AB186" t="str">
            <v>20GoldMale</v>
          </cell>
          <cell r="AC186">
            <v>20</v>
          </cell>
          <cell r="AD186" t="str">
            <v>Gold</v>
          </cell>
          <cell r="AE186" t="str">
            <v>Male</v>
          </cell>
          <cell r="AF186">
            <v>24.030136986301372</v>
          </cell>
        </row>
        <row r="187">
          <cell r="N187" t="str">
            <v>39GoldFemale</v>
          </cell>
          <cell r="O187">
            <v>39</v>
          </cell>
          <cell r="P187" t="str">
            <v>Gold</v>
          </cell>
          <cell r="Q187" t="str">
            <v>Female</v>
          </cell>
          <cell r="R187">
            <v>35.180821917808217</v>
          </cell>
          <cell r="U187" t="str">
            <v>43BasicFemale</v>
          </cell>
          <cell r="V187">
            <v>43</v>
          </cell>
          <cell r="W187" t="str">
            <v>Basic</v>
          </cell>
          <cell r="X187" t="str">
            <v>Female</v>
          </cell>
          <cell r="Y187">
            <v>11.767123287671232</v>
          </cell>
          <cell r="AB187" t="str">
            <v>20GoldUnknown</v>
          </cell>
          <cell r="AC187">
            <v>20</v>
          </cell>
          <cell r="AD187" t="str">
            <v>Gold</v>
          </cell>
          <cell r="AE187" t="str">
            <v>Unknown</v>
          </cell>
          <cell r="AF187">
            <v>15</v>
          </cell>
        </row>
        <row r="188">
          <cell r="N188" t="str">
            <v>39GoldMale</v>
          </cell>
          <cell r="O188">
            <v>39</v>
          </cell>
          <cell r="P188" t="str">
            <v>Gold</v>
          </cell>
          <cell r="Q188" t="str">
            <v>Male</v>
          </cell>
          <cell r="R188">
            <v>198.48333707612844</v>
          </cell>
          <cell r="U188" t="str">
            <v>43BasicMale</v>
          </cell>
          <cell r="V188">
            <v>43</v>
          </cell>
          <cell r="W188" t="str">
            <v>Basic</v>
          </cell>
          <cell r="X188" t="str">
            <v>Male</v>
          </cell>
          <cell r="Y188">
            <v>1.2712328767123289</v>
          </cell>
          <cell r="AB188" t="str">
            <v>20SilverFemale</v>
          </cell>
          <cell r="AC188">
            <v>20</v>
          </cell>
          <cell r="AD188" t="str">
            <v>Silver</v>
          </cell>
          <cell r="AE188" t="str">
            <v>Female</v>
          </cell>
          <cell r="AF188">
            <v>28.649315068493141</v>
          </cell>
        </row>
        <row r="189">
          <cell r="N189" t="str">
            <v>39SilverFemale</v>
          </cell>
          <cell r="O189">
            <v>39</v>
          </cell>
          <cell r="P189" t="str">
            <v>Silver</v>
          </cell>
          <cell r="Q189" t="str">
            <v>Female</v>
          </cell>
          <cell r="R189">
            <v>35.561643835616437</v>
          </cell>
          <cell r="U189" t="str">
            <v>43BronzeFemale</v>
          </cell>
          <cell r="V189">
            <v>43</v>
          </cell>
          <cell r="W189" t="str">
            <v>Bronze</v>
          </cell>
          <cell r="X189" t="str">
            <v>Female</v>
          </cell>
          <cell r="Y189">
            <v>0</v>
          </cell>
          <cell r="AB189" t="str">
            <v>20SilverMale</v>
          </cell>
          <cell r="AC189">
            <v>20</v>
          </cell>
          <cell r="AD189" t="str">
            <v>Silver</v>
          </cell>
          <cell r="AE189" t="str">
            <v>Male</v>
          </cell>
          <cell r="AF189">
            <v>32.22191780821916</v>
          </cell>
        </row>
        <row r="190">
          <cell r="N190" t="str">
            <v>39SilverMale</v>
          </cell>
          <cell r="O190">
            <v>39</v>
          </cell>
          <cell r="P190" t="str">
            <v>Silver</v>
          </cell>
          <cell r="Q190" t="str">
            <v>Male</v>
          </cell>
          <cell r="R190">
            <v>265.3095890410961</v>
          </cell>
          <cell r="U190" t="str">
            <v>43BronzeMale</v>
          </cell>
          <cell r="V190">
            <v>43</v>
          </cell>
          <cell r="W190" t="str">
            <v>Bronze</v>
          </cell>
          <cell r="X190" t="str">
            <v>Male</v>
          </cell>
          <cell r="Y190">
            <v>0</v>
          </cell>
          <cell r="AB190" t="str">
            <v>21BasicFemale</v>
          </cell>
          <cell r="AC190">
            <v>21</v>
          </cell>
          <cell r="AD190" t="str">
            <v>Basic</v>
          </cell>
          <cell r="AE190" t="str">
            <v>Female</v>
          </cell>
          <cell r="AF190">
            <v>1</v>
          </cell>
        </row>
        <row r="191">
          <cell r="N191" t="str">
            <v>40BasicFemale</v>
          </cell>
          <cell r="O191">
            <v>40</v>
          </cell>
          <cell r="P191" t="str">
            <v>Basic</v>
          </cell>
          <cell r="Q191" t="str">
            <v>Female</v>
          </cell>
          <cell r="R191">
            <v>16.082191780821915</v>
          </cell>
          <cell r="U191" t="str">
            <v>43GoldFemale</v>
          </cell>
          <cell r="V191">
            <v>43</v>
          </cell>
          <cell r="W191" t="str">
            <v>Gold</v>
          </cell>
          <cell r="X191" t="str">
            <v>Female</v>
          </cell>
          <cell r="Y191">
            <v>48.389071038251359</v>
          </cell>
          <cell r="AB191" t="str">
            <v>21BasicMale</v>
          </cell>
          <cell r="AC191">
            <v>21</v>
          </cell>
          <cell r="AD191" t="str">
            <v>Basic</v>
          </cell>
          <cell r="AE191" t="str">
            <v>Male</v>
          </cell>
          <cell r="AF191">
            <v>0.40273972602739727</v>
          </cell>
        </row>
        <row r="192">
          <cell r="N192" t="str">
            <v>40BasicMale</v>
          </cell>
          <cell r="O192">
            <v>40</v>
          </cell>
          <cell r="P192" t="str">
            <v>Basic</v>
          </cell>
          <cell r="Q192" t="str">
            <v>Male</v>
          </cell>
          <cell r="R192">
            <v>59.126027397260231</v>
          </cell>
          <cell r="U192" t="str">
            <v>43GoldMale</v>
          </cell>
          <cell r="V192">
            <v>43</v>
          </cell>
          <cell r="W192" t="str">
            <v>Gold</v>
          </cell>
          <cell r="X192" t="str">
            <v>Male</v>
          </cell>
          <cell r="Y192">
            <v>3.4054794520547946</v>
          </cell>
          <cell r="AB192" t="str">
            <v>21GoldFemale</v>
          </cell>
          <cell r="AC192">
            <v>21</v>
          </cell>
          <cell r="AD192" t="str">
            <v>Gold</v>
          </cell>
          <cell r="AE192" t="str">
            <v>Female</v>
          </cell>
          <cell r="AF192">
            <v>8.5972602739726032</v>
          </cell>
        </row>
        <row r="193">
          <cell r="N193" t="str">
            <v>40BronzeFemale</v>
          </cell>
          <cell r="O193">
            <v>40</v>
          </cell>
          <cell r="P193" t="str">
            <v>Bronze</v>
          </cell>
          <cell r="Q193" t="str">
            <v>Female</v>
          </cell>
          <cell r="R193">
            <v>0</v>
          </cell>
          <cell r="U193" t="str">
            <v>43SilverFemale</v>
          </cell>
          <cell r="V193">
            <v>43</v>
          </cell>
          <cell r="W193" t="str">
            <v>Silver</v>
          </cell>
          <cell r="X193" t="str">
            <v>Female</v>
          </cell>
          <cell r="Y193">
            <v>48.495890410958879</v>
          </cell>
          <cell r="AB193" t="str">
            <v>21GoldMale</v>
          </cell>
          <cell r="AC193">
            <v>21</v>
          </cell>
          <cell r="AD193" t="str">
            <v>Gold</v>
          </cell>
          <cell r="AE193" t="str">
            <v>Male</v>
          </cell>
          <cell r="AF193">
            <v>2</v>
          </cell>
        </row>
        <row r="194">
          <cell r="N194" t="str">
            <v>40BronzeMale</v>
          </cell>
          <cell r="O194">
            <v>40</v>
          </cell>
          <cell r="P194" t="str">
            <v>Bronze</v>
          </cell>
          <cell r="Q194" t="str">
            <v>Male</v>
          </cell>
          <cell r="R194">
            <v>0</v>
          </cell>
          <cell r="U194" t="str">
            <v>43SilverMale</v>
          </cell>
          <cell r="V194">
            <v>43</v>
          </cell>
          <cell r="W194" t="str">
            <v>Silver</v>
          </cell>
          <cell r="X194" t="str">
            <v>Male</v>
          </cell>
          <cell r="Y194">
            <v>2.9780821917808225</v>
          </cell>
          <cell r="AB194" t="str">
            <v>21SilverFemale</v>
          </cell>
          <cell r="AC194">
            <v>21</v>
          </cell>
          <cell r="AD194" t="str">
            <v>Silver</v>
          </cell>
          <cell r="AE194" t="str">
            <v>Female</v>
          </cell>
          <cell r="AF194">
            <v>27.520547945205468</v>
          </cell>
        </row>
        <row r="195">
          <cell r="N195" t="str">
            <v>40GoldFemale</v>
          </cell>
          <cell r="O195">
            <v>40</v>
          </cell>
          <cell r="P195" t="str">
            <v>Gold</v>
          </cell>
          <cell r="Q195" t="str">
            <v>Female</v>
          </cell>
          <cell r="R195">
            <v>24.871232876712323</v>
          </cell>
          <cell r="U195" t="str">
            <v>44BasicFemale</v>
          </cell>
          <cell r="V195">
            <v>44</v>
          </cell>
          <cell r="W195" t="str">
            <v>Basic</v>
          </cell>
          <cell r="X195" t="str">
            <v>Female</v>
          </cell>
          <cell r="Y195">
            <v>11.583561643835617</v>
          </cell>
          <cell r="AB195" t="str">
            <v>21SilverMale</v>
          </cell>
          <cell r="AC195">
            <v>21</v>
          </cell>
          <cell r="AD195" t="str">
            <v>Silver</v>
          </cell>
          <cell r="AE195" t="str">
            <v>Male</v>
          </cell>
          <cell r="AF195">
            <v>30.791780821917801</v>
          </cell>
        </row>
        <row r="196">
          <cell r="N196" t="str">
            <v>40GoldMale</v>
          </cell>
          <cell r="O196">
            <v>40</v>
          </cell>
          <cell r="P196" t="str">
            <v>Gold</v>
          </cell>
          <cell r="Q196" t="str">
            <v>Male</v>
          </cell>
          <cell r="R196">
            <v>169.3842503181375</v>
          </cell>
          <cell r="U196" t="str">
            <v>44BasicMale</v>
          </cell>
          <cell r="V196">
            <v>44</v>
          </cell>
          <cell r="W196" t="str">
            <v>Basic</v>
          </cell>
          <cell r="X196" t="str">
            <v>Male</v>
          </cell>
          <cell r="Y196">
            <v>2.1150684931506847</v>
          </cell>
          <cell r="AB196" t="str">
            <v>22BasicFemale</v>
          </cell>
          <cell r="AC196">
            <v>22</v>
          </cell>
          <cell r="AD196" t="str">
            <v>Basic</v>
          </cell>
          <cell r="AE196" t="str">
            <v>Female</v>
          </cell>
          <cell r="AF196">
            <v>0.44383561643835617</v>
          </cell>
        </row>
        <row r="197">
          <cell r="N197" t="str">
            <v>40SilverFemale</v>
          </cell>
          <cell r="O197">
            <v>40</v>
          </cell>
          <cell r="P197" t="str">
            <v>Silver</v>
          </cell>
          <cell r="Q197" t="str">
            <v>Female</v>
          </cell>
          <cell r="R197">
            <v>22.358904109589041</v>
          </cell>
          <cell r="U197" t="str">
            <v>44GoldFemale</v>
          </cell>
          <cell r="V197">
            <v>44</v>
          </cell>
          <cell r="W197" t="str">
            <v>Gold</v>
          </cell>
          <cell r="X197" t="str">
            <v>Female</v>
          </cell>
          <cell r="Y197">
            <v>43.318272325772881</v>
          </cell>
          <cell r="AB197" t="str">
            <v>22GoldFemale</v>
          </cell>
          <cell r="AC197">
            <v>22</v>
          </cell>
          <cell r="AD197" t="str">
            <v>Gold</v>
          </cell>
          <cell r="AE197" t="str">
            <v>Female</v>
          </cell>
          <cell r="AF197">
            <v>5.0602739726027401</v>
          </cell>
        </row>
        <row r="198">
          <cell r="N198" t="str">
            <v>40SilverMale</v>
          </cell>
          <cell r="O198">
            <v>40</v>
          </cell>
          <cell r="P198" t="str">
            <v>Silver</v>
          </cell>
          <cell r="Q198" t="str">
            <v>Male</v>
          </cell>
          <cell r="R198">
            <v>229.54246575342452</v>
          </cell>
          <cell r="U198" t="str">
            <v>44GoldMale</v>
          </cell>
          <cell r="V198">
            <v>44</v>
          </cell>
          <cell r="W198" t="str">
            <v>Gold</v>
          </cell>
          <cell r="X198" t="str">
            <v>Male</v>
          </cell>
          <cell r="Y198">
            <v>7.4520547945205484</v>
          </cell>
          <cell r="AB198" t="str">
            <v>22GoldMale</v>
          </cell>
          <cell r="AC198">
            <v>22</v>
          </cell>
          <cell r="AD198" t="str">
            <v>Gold</v>
          </cell>
          <cell r="AE198" t="str">
            <v>Male</v>
          </cell>
          <cell r="AF198">
            <v>3.0164383561643837</v>
          </cell>
        </row>
        <row r="199">
          <cell r="N199" t="str">
            <v>40SilverUnknown</v>
          </cell>
          <cell r="O199">
            <v>40</v>
          </cell>
          <cell r="P199" t="str">
            <v>Silver</v>
          </cell>
          <cell r="Q199" t="str">
            <v>Unknown</v>
          </cell>
          <cell r="R199">
            <v>1</v>
          </cell>
          <cell r="U199" t="str">
            <v>44SilverFemale</v>
          </cell>
          <cell r="V199">
            <v>44</v>
          </cell>
          <cell r="W199" t="str">
            <v>Silver</v>
          </cell>
          <cell r="X199" t="str">
            <v>Female</v>
          </cell>
          <cell r="Y199">
            <v>45.536986301369865</v>
          </cell>
          <cell r="AB199" t="str">
            <v>22SilverFemale</v>
          </cell>
          <cell r="AC199">
            <v>22</v>
          </cell>
          <cell r="AD199" t="str">
            <v>Silver</v>
          </cell>
          <cell r="AE199" t="str">
            <v>Female</v>
          </cell>
          <cell r="AF199">
            <v>23.802739726027383</v>
          </cell>
        </row>
        <row r="200">
          <cell r="N200" t="str">
            <v>41BasicFemale</v>
          </cell>
          <cell r="O200">
            <v>41</v>
          </cell>
          <cell r="P200" t="str">
            <v>Basic</v>
          </cell>
          <cell r="Q200" t="str">
            <v>Female</v>
          </cell>
          <cell r="R200">
            <v>17.701961224642563</v>
          </cell>
          <cell r="U200" t="str">
            <v>44SilverMale</v>
          </cell>
          <cell r="V200">
            <v>44</v>
          </cell>
          <cell r="W200" t="str">
            <v>Silver</v>
          </cell>
          <cell r="X200" t="str">
            <v>Male</v>
          </cell>
          <cell r="Y200">
            <v>10.561643835616438</v>
          </cell>
          <cell r="AB200" t="str">
            <v>22SilverMale</v>
          </cell>
          <cell r="AC200">
            <v>22</v>
          </cell>
          <cell r="AD200" t="str">
            <v>Silver</v>
          </cell>
          <cell r="AE200" t="str">
            <v>Male</v>
          </cell>
          <cell r="AF200">
            <v>20.493150684931496</v>
          </cell>
        </row>
        <row r="201">
          <cell r="N201" t="str">
            <v>41BasicMale</v>
          </cell>
          <cell r="O201">
            <v>41</v>
          </cell>
          <cell r="P201" t="str">
            <v>Basic</v>
          </cell>
          <cell r="Q201" t="str">
            <v>Male</v>
          </cell>
          <cell r="R201">
            <v>56.569863013698615</v>
          </cell>
          <cell r="U201" t="str">
            <v>45BasicFemale</v>
          </cell>
          <cell r="V201">
            <v>45</v>
          </cell>
          <cell r="W201" t="str">
            <v>Basic</v>
          </cell>
          <cell r="X201" t="str">
            <v>Female</v>
          </cell>
          <cell r="Y201">
            <v>10.786301369863015</v>
          </cell>
          <cell r="AB201" t="str">
            <v>23BasicMale</v>
          </cell>
          <cell r="AC201">
            <v>23</v>
          </cell>
          <cell r="AD201" t="str">
            <v>Basic</v>
          </cell>
          <cell r="AE201" t="str">
            <v>Male</v>
          </cell>
          <cell r="AF201">
            <v>1.8630136986301369</v>
          </cell>
        </row>
        <row r="202">
          <cell r="N202" t="str">
            <v>41BronzeFemale</v>
          </cell>
          <cell r="O202">
            <v>41</v>
          </cell>
          <cell r="P202" t="str">
            <v>Bronze</v>
          </cell>
          <cell r="Q202" t="str">
            <v>Female</v>
          </cell>
          <cell r="R202">
            <v>0</v>
          </cell>
          <cell r="U202" t="str">
            <v>45BasicMale</v>
          </cell>
          <cell r="V202">
            <v>45</v>
          </cell>
          <cell r="W202" t="str">
            <v>Basic</v>
          </cell>
          <cell r="X202" t="str">
            <v>Male</v>
          </cell>
          <cell r="Y202">
            <v>5.9561643835616431</v>
          </cell>
          <cell r="AB202" t="str">
            <v>23GoldFemale</v>
          </cell>
          <cell r="AC202">
            <v>23</v>
          </cell>
          <cell r="AD202" t="str">
            <v>Gold</v>
          </cell>
          <cell r="AE202" t="str">
            <v>Female</v>
          </cell>
          <cell r="AF202">
            <v>3.7150684931506848</v>
          </cell>
        </row>
        <row r="203">
          <cell r="N203" t="str">
            <v>41BronzeMale</v>
          </cell>
          <cell r="O203">
            <v>41</v>
          </cell>
          <cell r="P203" t="str">
            <v>Bronze</v>
          </cell>
          <cell r="Q203" t="str">
            <v>Male</v>
          </cell>
          <cell r="R203">
            <v>0</v>
          </cell>
          <cell r="U203" t="str">
            <v>45BronzeFemale</v>
          </cell>
          <cell r="V203">
            <v>45</v>
          </cell>
          <cell r="W203" t="str">
            <v>Bronze</v>
          </cell>
          <cell r="X203" t="str">
            <v>Female</v>
          </cell>
          <cell r="Y203">
            <v>0</v>
          </cell>
          <cell r="AB203" t="str">
            <v>23GoldMale</v>
          </cell>
          <cell r="AC203">
            <v>23</v>
          </cell>
          <cell r="AD203" t="str">
            <v>Gold</v>
          </cell>
          <cell r="AE203" t="str">
            <v>Male</v>
          </cell>
          <cell r="AF203">
            <v>2.0164383561643837</v>
          </cell>
        </row>
        <row r="204">
          <cell r="N204" t="str">
            <v>41GoldFemale</v>
          </cell>
          <cell r="O204">
            <v>41</v>
          </cell>
          <cell r="P204" t="str">
            <v>Gold</v>
          </cell>
          <cell r="Q204" t="str">
            <v>Female</v>
          </cell>
          <cell r="R204">
            <v>18.194520547945206</v>
          </cell>
          <cell r="U204" t="str">
            <v>45GoldFemale</v>
          </cell>
          <cell r="V204">
            <v>45</v>
          </cell>
          <cell r="W204" t="str">
            <v>Gold</v>
          </cell>
          <cell r="X204" t="str">
            <v>Female</v>
          </cell>
          <cell r="Y204">
            <v>30.929687850887039</v>
          </cell>
          <cell r="AB204" t="str">
            <v>23SilverFemale</v>
          </cell>
          <cell r="AC204">
            <v>23</v>
          </cell>
          <cell r="AD204" t="str">
            <v>Silver</v>
          </cell>
          <cell r="AE204" t="str">
            <v>Female</v>
          </cell>
          <cell r="AF204">
            <v>15.575342465753423</v>
          </cell>
        </row>
        <row r="205">
          <cell r="N205" t="str">
            <v>41GoldMale</v>
          </cell>
          <cell r="O205">
            <v>41</v>
          </cell>
          <cell r="P205" t="str">
            <v>Gold</v>
          </cell>
          <cell r="Q205" t="str">
            <v>Male</v>
          </cell>
          <cell r="R205">
            <v>131.21095890410967</v>
          </cell>
          <cell r="U205" t="str">
            <v>45GoldMale</v>
          </cell>
          <cell r="V205">
            <v>45</v>
          </cell>
          <cell r="W205" t="str">
            <v>Gold</v>
          </cell>
          <cell r="X205" t="str">
            <v>Male</v>
          </cell>
          <cell r="Y205">
            <v>3.1287671232876715</v>
          </cell>
          <cell r="AB205" t="str">
            <v>23SilverMale</v>
          </cell>
          <cell r="AC205">
            <v>23</v>
          </cell>
          <cell r="AD205" t="str">
            <v>Silver</v>
          </cell>
          <cell r="AE205" t="str">
            <v>Male</v>
          </cell>
          <cell r="AF205">
            <v>5.9452054794520546</v>
          </cell>
        </row>
        <row r="206">
          <cell r="N206" t="str">
            <v>41SilverFemale</v>
          </cell>
          <cell r="O206">
            <v>41</v>
          </cell>
          <cell r="P206" t="str">
            <v>Silver</v>
          </cell>
          <cell r="Q206" t="str">
            <v>Female</v>
          </cell>
          <cell r="R206">
            <v>25.315068493150687</v>
          </cell>
          <cell r="U206" t="str">
            <v>45SilverFemale</v>
          </cell>
          <cell r="V206">
            <v>45</v>
          </cell>
          <cell r="W206" t="str">
            <v>Silver</v>
          </cell>
          <cell r="X206" t="str">
            <v>Female</v>
          </cell>
          <cell r="Y206">
            <v>41.468493150684907</v>
          </cell>
        </row>
        <row r="207">
          <cell r="N207" t="str">
            <v>41SilverMale</v>
          </cell>
          <cell r="O207">
            <v>41</v>
          </cell>
          <cell r="P207" t="str">
            <v>Silver</v>
          </cell>
          <cell r="Q207" t="str">
            <v>Male</v>
          </cell>
          <cell r="R207">
            <v>177.37260273972589</v>
          </cell>
          <cell r="U207" t="str">
            <v>45SilverMale</v>
          </cell>
          <cell r="V207">
            <v>45</v>
          </cell>
          <cell r="W207" t="str">
            <v>Silver</v>
          </cell>
          <cell r="X207" t="str">
            <v>Male</v>
          </cell>
          <cell r="Y207">
            <v>5.4493150684931511</v>
          </cell>
        </row>
        <row r="208">
          <cell r="N208" t="str">
            <v>42BasicFemale</v>
          </cell>
          <cell r="O208">
            <v>42</v>
          </cell>
          <cell r="P208" t="str">
            <v>Basic</v>
          </cell>
          <cell r="Q208" t="str">
            <v>Female</v>
          </cell>
          <cell r="R208">
            <v>13.28088928812037</v>
          </cell>
          <cell r="U208" t="str">
            <v>46BasicFemale</v>
          </cell>
          <cell r="V208">
            <v>46</v>
          </cell>
          <cell r="W208" t="str">
            <v>Basic</v>
          </cell>
          <cell r="X208" t="str">
            <v>Female</v>
          </cell>
          <cell r="Y208">
            <v>7.2876712328767121</v>
          </cell>
        </row>
        <row r="209">
          <cell r="N209" t="str">
            <v>42BasicMale</v>
          </cell>
          <cell r="O209">
            <v>42</v>
          </cell>
          <cell r="P209" t="str">
            <v>Basic</v>
          </cell>
          <cell r="Q209" t="str">
            <v>Male</v>
          </cell>
          <cell r="R209">
            <v>45.931506849315063</v>
          </cell>
          <cell r="U209" t="str">
            <v>46BasicMale</v>
          </cell>
          <cell r="V209">
            <v>46</v>
          </cell>
          <cell r="W209" t="str">
            <v>Basic</v>
          </cell>
          <cell r="X209" t="str">
            <v>Male</v>
          </cell>
          <cell r="Y209">
            <v>2.6</v>
          </cell>
        </row>
        <row r="210">
          <cell r="N210" t="str">
            <v>42BronzeFemale</v>
          </cell>
          <cell r="O210">
            <v>42</v>
          </cell>
          <cell r="P210" t="str">
            <v>Bronze</v>
          </cell>
          <cell r="Q210" t="str">
            <v>Female</v>
          </cell>
          <cell r="R210">
            <v>0</v>
          </cell>
          <cell r="U210" t="str">
            <v>46GoldFemale</v>
          </cell>
          <cell r="V210">
            <v>46</v>
          </cell>
          <cell r="W210" t="str">
            <v>Gold</v>
          </cell>
          <cell r="X210" t="str">
            <v>Female</v>
          </cell>
          <cell r="Y210">
            <v>27.394310951418518</v>
          </cell>
        </row>
        <row r="211">
          <cell r="N211" t="str">
            <v>42BronzeMale</v>
          </cell>
          <cell r="O211">
            <v>42</v>
          </cell>
          <cell r="P211" t="str">
            <v>Bronze</v>
          </cell>
          <cell r="Q211" t="str">
            <v>Male</v>
          </cell>
          <cell r="R211">
            <v>0</v>
          </cell>
          <cell r="U211" t="str">
            <v>46GoldMale</v>
          </cell>
          <cell r="V211">
            <v>46</v>
          </cell>
          <cell r="W211" t="str">
            <v>Gold</v>
          </cell>
          <cell r="X211" t="str">
            <v>Male</v>
          </cell>
          <cell r="Y211">
            <v>2.0849315068493151</v>
          </cell>
        </row>
        <row r="212">
          <cell r="N212" t="str">
            <v>42GoldFemale</v>
          </cell>
          <cell r="O212">
            <v>42</v>
          </cell>
          <cell r="P212" t="str">
            <v>Gold</v>
          </cell>
          <cell r="Q212" t="str">
            <v>Female</v>
          </cell>
          <cell r="R212">
            <v>20.969863013698628</v>
          </cell>
          <cell r="U212" t="str">
            <v>46SilverFemale</v>
          </cell>
          <cell r="V212">
            <v>46</v>
          </cell>
          <cell r="W212" t="str">
            <v>Silver</v>
          </cell>
          <cell r="X212" t="str">
            <v>Female</v>
          </cell>
          <cell r="Y212">
            <v>45.969863013698628</v>
          </cell>
        </row>
        <row r="213">
          <cell r="N213" t="str">
            <v>42GoldMale</v>
          </cell>
          <cell r="O213">
            <v>42</v>
          </cell>
          <cell r="P213" t="str">
            <v>Gold</v>
          </cell>
          <cell r="Q213" t="str">
            <v>Male</v>
          </cell>
          <cell r="R213">
            <v>126.57717643536199</v>
          </cell>
          <cell r="U213" t="str">
            <v>46SilverMale</v>
          </cell>
          <cell r="V213">
            <v>46</v>
          </cell>
          <cell r="W213" t="str">
            <v>Silver</v>
          </cell>
          <cell r="X213" t="str">
            <v>Male</v>
          </cell>
          <cell r="Y213">
            <v>2</v>
          </cell>
        </row>
        <row r="214">
          <cell r="N214" t="str">
            <v>42SilverFemale</v>
          </cell>
          <cell r="O214">
            <v>42</v>
          </cell>
          <cell r="P214" t="str">
            <v>Silver</v>
          </cell>
          <cell r="Q214" t="str">
            <v>Female</v>
          </cell>
          <cell r="R214">
            <v>24.219178082191782</v>
          </cell>
          <cell r="U214" t="str">
            <v>47BasicFemale</v>
          </cell>
          <cell r="V214">
            <v>47</v>
          </cell>
          <cell r="W214" t="str">
            <v>Basic</v>
          </cell>
          <cell r="X214" t="str">
            <v>Female</v>
          </cell>
          <cell r="Y214">
            <v>6.3068493150684928</v>
          </cell>
        </row>
        <row r="215">
          <cell r="N215" t="str">
            <v>42SilverMale</v>
          </cell>
          <cell r="O215">
            <v>42</v>
          </cell>
          <cell r="P215" t="str">
            <v>Silver</v>
          </cell>
          <cell r="Q215" t="str">
            <v>Male</v>
          </cell>
          <cell r="R215">
            <v>165.80273972602726</v>
          </cell>
          <cell r="U215" t="str">
            <v>47BasicMale</v>
          </cell>
          <cell r="V215">
            <v>47</v>
          </cell>
          <cell r="W215" t="str">
            <v>Basic</v>
          </cell>
          <cell r="X215" t="str">
            <v>Male</v>
          </cell>
          <cell r="Y215">
            <v>1.6986301369863015</v>
          </cell>
        </row>
        <row r="216">
          <cell r="N216" t="str">
            <v>43BasicFemale</v>
          </cell>
          <cell r="O216">
            <v>43</v>
          </cell>
          <cell r="P216" t="str">
            <v>Basic</v>
          </cell>
          <cell r="Q216" t="str">
            <v>Female</v>
          </cell>
          <cell r="R216">
            <v>7.9506849315068493</v>
          </cell>
          <cell r="U216" t="str">
            <v>47BronzeMale</v>
          </cell>
          <cell r="V216">
            <v>47</v>
          </cell>
          <cell r="W216" t="str">
            <v>Bronze</v>
          </cell>
          <cell r="X216" t="str">
            <v>Male</v>
          </cell>
          <cell r="Y216">
            <v>0</v>
          </cell>
        </row>
        <row r="217">
          <cell r="N217" t="str">
            <v>43BasicMale</v>
          </cell>
          <cell r="O217">
            <v>43</v>
          </cell>
          <cell r="P217" t="str">
            <v>Basic</v>
          </cell>
          <cell r="Q217" t="str">
            <v>Male</v>
          </cell>
          <cell r="R217">
            <v>35.849315068493141</v>
          </cell>
          <cell r="U217" t="str">
            <v>47GoldFemale</v>
          </cell>
          <cell r="V217">
            <v>47</v>
          </cell>
          <cell r="W217" t="str">
            <v>Gold</v>
          </cell>
          <cell r="X217" t="str">
            <v>Female</v>
          </cell>
          <cell r="Y217">
            <v>19.832876712328769</v>
          </cell>
        </row>
        <row r="218">
          <cell r="N218" t="str">
            <v>43BronzeFemale</v>
          </cell>
          <cell r="O218">
            <v>43</v>
          </cell>
          <cell r="P218" t="str">
            <v>Bronze</v>
          </cell>
          <cell r="Q218" t="str">
            <v>Female</v>
          </cell>
          <cell r="R218">
            <v>0</v>
          </cell>
          <cell r="U218" t="str">
            <v>47GoldMale</v>
          </cell>
          <cell r="V218">
            <v>47</v>
          </cell>
          <cell r="W218" t="str">
            <v>Gold</v>
          </cell>
          <cell r="X218" t="str">
            <v>Male</v>
          </cell>
          <cell r="Y218">
            <v>0.41095890410958902</v>
          </cell>
        </row>
        <row r="219">
          <cell r="N219" t="str">
            <v>43BronzeMale</v>
          </cell>
          <cell r="O219">
            <v>43</v>
          </cell>
          <cell r="P219" t="str">
            <v>Bronze</v>
          </cell>
          <cell r="Q219" t="str">
            <v>Male</v>
          </cell>
          <cell r="R219">
            <v>0</v>
          </cell>
          <cell r="U219" t="str">
            <v>47SilverFemale</v>
          </cell>
          <cell r="V219">
            <v>47</v>
          </cell>
          <cell r="W219" t="str">
            <v>Silver</v>
          </cell>
          <cell r="X219" t="str">
            <v>Female</v>
          </cell>
          <cell r="Y219">
            <v>41.602739726027387</v>
          </cell>
        </row>
        <row r="220">
          <cell r="N220" t="str">
            <v>43GoldFemale</v>
          </cell>
          <cell r="O220">
            <v>43</v>
          </cell>
          <cell r="P220" t="str">
            <v>Gold</v>
          </cell>
          <cell r="Q220" t="str">
            <v>Female</v>
          </cell>
          <cell r="R220">
            <v>21.638356164383556</v>
          </cell>
          <cell r="U220" t="str">
            <v>47SilverMale</v>
          </cell>
          <cell r="V220">
            <v>47</v>
          </cell>
          <cell r="W220" t="str">
            <v>Silver</v>
          </cell>
          <cell r="X220" t="str">
            <v>Male</v>
          </cell>
          <cell r="Y220">
            <v>4.6575342465753424</v>
          </cell>
        </row>
        <row r="221">
          <cell r="N221" t="str">
            <v>43GoldMale</v>
          </cell>
          <cell r="O221">
            <v>43</v>
          </cell>
          <cell r="P221" t="str">
            <v>Gold</v>
          </cell>
          <cell r="Q221" t="str">
            <v>Male</v>
          </cell>
          <cell r="R221">
            <v>118.87076877011761</v>
          </cell>
          <cell r="U221" t="str">
            <v>48BasicFemale</v>
          </cell>
          <cell r="V221">
            <v>48</v>
          </cell>
          <cell r="W221" t="str">
            <v>Basic</v>
          </cell>
          <cell r="X221" t="str">
            <v>Female</v>
          </cell>
          <cell r="Y221">
            <v>3.6356164383561644</v>
          </cell>
        </row>
        <row r="222">
          <cell r="N222" t="str">
            <v>43SilverFemale</v>
          </cell>
          <cell r="O222">
            <v>43</v>
          </cell>
          <cell r="P222" t="str">
            <v>Silver</v>
          </cell>
          <cell r="Q222" t="str">
            <v>Female</v>
          </cell>
          <cell r="R222">
            <v>16.517808219178082</v>
          </cell>
          <cell r="U222" t="str">
            <v>48BasicMale</v>
          </cell>
          <cell r="V222">
            <v>48</v>
          </cell>
          <cell r="W222" t="str">
            <v>Basic</v>
          </cell>
          <cell r="X222" t="str">
            <v>Male</v>
          </cell>
          <cell r="Y222">
            <v>1.4054794520547946</v>
          </cell>
        </row>
        <row r="223">
          <cell r="N223" t="str">
            <v>43SilverMale</v>
          </cell>
          <cell r="O223">
            <v>43</v>
          </cell>
          <cell r="P223" t="str">
            <v>Silver</v>
          </cell>
          <cell r="Q223" t="str">
            <v>Male</v>
          </cell>
          <cell r="R223">
            <v>158.42191780821912</v>
          </cell>
          <cell r="U223" t="str">
            <v>48BronzeMale</v>
          </cell>
          <cell r="V223">
            <v>48</v>
          </cell>
          <cell r="W223" t="str">
            <v>Bronze</v>
          </cell>
          <cell r="X223" t="str">
            <v>Male</v>
          </cell>
          <cell r="Y223">
            <v>0</v>
          </cell>
        </row>
        <row r="224">
          <cell r="N224" t="str">
            <v>44BasicFemale</v>
          </cell>
          <cell r="O224">
            <v>44</v>
          </cell>
          <cell r="P224" t="str">
            <v>Basic</v>
          </cell>
          <cell r="Q224" t="str">
            <v>Female</v>
          </cell>
          <cell r="R224">
            <v>10.345205479452057</v>
          </cell>
          <cell r="U224" t="str">
            <v>48GoldFemale</v>
          </cell>
          <cell r="V224">
            <v>48</v>
          </cell>
          <cell r="W224" t="str">
            <v>Gold</v>
          </cell>
          <cell r="X224" t="str">
            <v>Female</v>
          </cell>
          <cell r="Y224">
            <v>22.885859720038923</v>
          </cell>
        </row>
        <row r="225">
          <cell r="N225" t="str">
            <v>44BasicMale</v>
          </cell>
          <cell r="O225">
            <v>44</v>
          </cell>
          <cell r="P225" t="str">
            <v>Basic</v>
          </cell>
          <cell r="Q225" t="str">
            <v>Male</v>
          </cell>
          <cell r="R225">
            <v>34.695890410958903</v>
          </cell>
          <cell r="U225" t="str">
            <v>48GoldMale</v>
          </cell>
          <cell r="V225">
            <v>48</v>
          </cell>
          <cell r="W225" t="str">
            <v>Gold</v>
          </cell>
          <cell r="X225" t="str">
            <v>Male</v>
          </cell>
          <cell r="Y225">
            <v>4.0826558874167223</v>
          </cell>
        </row>
        <row r="226">
          <cell r="N226" t="str">
            <v>44BronzeFemale</v>
          </cell>
          <cell r="O226">
            <v>44</v>
          </cell>
          <cell r="P226" t="str">
            <v>Bronze</v>
          </cell>
          <cell r="Q226" t="str">
            <v>Female</v>
          </cell>
          <cell r="R226">
            <v>0</v>
          </cell>
          <cell r="U226" t="str">
            <v>48SilverFemale</v>
          </cell>
          <cell r="V226">
            <v>48</v>
          </cell>
          <cell r="W226" t="str">
            <v>Silver</v>
          </cell>
          <cell r="X226" t="str">
            <v>Female</v>
          </cell>
          <cell r="Y226">
            <v>39.10410958904108</v>
          </cell>
        </row>
        <row r="227">
          <cell r="N227" t="str">
            <v>44BronzeMale</v>
          </cell>
          <cell r="O227">
            <v>44</v>
          </cell>
          <cell r="P227" t="str">
            <v>Bronze</v>
          </cell>
          <cell r="Q227" t="str">
            <v>Male</v>
          </cell>
          <cell r="R227">
            <v>0</v>
          </cell>
          <cell r="U227" t="str">
            <v>48SilverMale</v>
          </cell>
          <cell r="V227">
            <v>48</v>
          </cell>
          <cell r="W227" t="str">
            <v>Silver</v>
          </cell>
          <cell r="X227" t="str">
            <v>Male</v>
          </cell>
          <cell r="Y227">
            <v>4.5835616438356164</v>
          </cell>
        </row>
        <row r="228">
          <cell r="N228" t="str">
            <v>44GoldFemale</v>
          </cell>
          <cell r="O228">
            <v>44</v>
          </cell>
          <cell r="P228" t="str">
            <v>Gold</v>
          </cell>
          <cell r="Q228" t="str">
            <v>Female</v>
          </cell>
          <cell r="R228">
            <v>17.871232876712327</v>
          </cell>
          <cell r="U228" t="str">
            <v>49BasicFemale</v>
          </cell>
          <cell r="V228">
            <v>49</v>
          </cell>
          <cell r="W228" t="str">
            <v>Basic</v>
          </cell>
          <cell r="X228" t="str">
            <v>Female</v>
          </cell>
          <cell r="Y228">
            <v>3.7835616438356166</v>
          </cell>
        </row>
        <row r="229">
          <cell r="N229" t="str">
            <v>44GoldMale</v>
          </cell>
          <cell r="O229">
            <v>44</v>
          </cell>
          <cell r="P229" t="str">
            <v>Gold</v>
          </cell>
          <cell r="Q229" t="str">
            <v>Male</v>
          </cell>
          <cell r="R229">
            <v>107.76713825885177</v>
          </cell>
          <cell r="U229" t="str">
            <v>49BasicMale</v>
          </cell>
          <cell r="V229">
            <v>49</v>
          </cell>
          <cell r="W229" t="str">
            <v>Basic</v>
          </cell>
          <cell r="X229" t="str">
            <v>Male</v>
          </cell>
          <cell r="Y229">
            <v>0.56986301369863013</v>
          </cell>
        </row>
        <row r="230">
          <cell r="N230" t="str">
            <v>44SilverFemale</v>
          </cell>
          <cell r="O230">
            <v>44</v>
          </cell>
          <cell r="P230" t="str">
            <v>Silver</v>
          </cell>
          <cell r="Q230" t="str">
            <v>Female</v>
          </cell>
          <cell r="R230">
            <v>16.643835616438356</v>
          </cell>
          <cell r="U230" t="str">
            <v>49GoldFemale</v>
          </cell>
          <cell r="V230">
            <v>49</v>
          </cell>
          <cell r="W230" t="str">
            <v>Gold</v>
          </cell>
          <cell r="X230" t="str">
            <v>Female</v>
          </cell>
          <cell r="Y230">
            <v>20.691563739800884</v>
          </cell>
        </row>
        <row r="231">
          <cell r="N231" t="str">
            <v>44SilverMale</v>
          </cell>
          <cell r="O231">
            <v>44</v>
          </cell>
          <cell r="P231" t="str">
            <v>Silver</v>
          </cell>
          <cell r="Q231" t="str">
            <v>Male</v>
          </cell>
          <cell r="R231">
            <v>145.98904109589034</v>
          </cell>
          <cell r="U231" t="str">
            <v>49GoldMale</v>
          </cell>
          <cell r="V231">
            <v>49</v>
          </cell>
          <cell r="W231" t="str">
            <v>Gold</v>
          </cell>
          <cell r="X231" t="str">
            <v>Male</v>
          </cell>
          <cell r="Y231">
            <v>3.7534246575342465</v>
          </cell>
        </row>
        <row r="232">
          <cell r="N232" t="str">
            <v>45BasicFemale</v>
          </cell>
          <cell r="O232">
            <v>45</v>
          </cell>
          <cell r="P232" t="str">
            <v>Basic</v>
          </cell>
          <cell r="Q232" t="str">
            <v>Female</v>
          </cell>
          <cell r="R232">
            <v>6.9068493150684933</v>
          </cell>
          <cell r="U232" t="str">
            <v>49SilverFemale</v>
          </cell>
          <cell r="V232">
            <v>49</v>
          </cell>
          <cell r="W232" t="str">
            <v>Silver</v>
          </cell>
          <cell r="X232" t="str">
            <v>Female</v>
          </cell>
          <cell r="Y232">
            <v>33.536986301369851</v>
          </cell>
        </row>
        <row r="233">
          <cell r="N233" t="str">
            <v>45BasicMale</v>
          </cell>
          <cell r="O233">
            <v>45</v>
          </cell>
          <cell r="P233" t="str">
            <v>Basic</v>
          </cell>
          <cell r="Q233" t="str">
            <v>Male</v>
          </cell>
          <cell r="R233">
            <v>39.410958904109577</v>
          </cell>
          <cell r="U233" t="str">
            <v>49SilverMale</v>
          </cell>
          <cell r="V233">
            <v>49</v>
          </cell>
          <cell r="W233" t="str">
            <v>Silver</v>
          </cell>
          <cell r="X233" t="str">
            <v>Male</v>
          </cell>
          <cell r="Y233">
            <v>4.117808219178082</v>
          </cell>
        </row>
        <row r="234">
          <cell r="N234" t="str">
            <v>45BronzeMale</v>
          </cell>
          <cell r="O234">
            <v>45</v>
          </cell>
          <cell r="P234" t="str">
            <v>Bronze</v>
          </cell>
          <cell r="Q234" t="str">
            <v>Male</v>
          </cell>
          <cell r="R234">
            <v>0</v>
          </cell>
          <cell r="U234" t="str">
            <v>50BasicFemale</v>
          </cell>
          <cell r="V234">
            <v>50</v>
          </cell>
          <cell r="W234" t="str">
            <v>Basic</v>
          </cell>
          <cell r="X234" t="str">
            <v>Female</v>
          </cell>
          <cell r="Y234">
            <v>3.5671232876712331</v>
          </cell>
        </row>
        <row r="235">
          <cell r="N235" t="str">
            <v>45GoldFemale</v>
          </cell>
          <cell r="O235">
            <v>45</v>
          </cell>
          <cell r="P235" t="str">
            <v>Gold</v>
          </cell>
          <cell r="Q235" t="str">
            <v>Female</v>
          </cell>
          <cell r="R235">
            <v>13.013698630136988</v>
          </cell>
          <cell r="U235" t="str">
            <v>50BasicMale</v>
          </cell>
          <cell r="V235">
            <v>50</v>
          </cell>
          <cell r="W235" t="str">
            <v>Basic</v>
          </cell>
          <cell r="X235" t="str">
            <v>Male</v>
          </cell>
          <cell r="Y235">
            <v>0.38082191780821917</v>
          </cell>
        </row>
        <row r="236">
          <cell r="N236" t="str">
            <v>45GoldMale</v>
          </cell>
          <cell r="O236">
            <v>45</v>
          </cell>
          <cell r="P236" t="str">
            <v>Gold</v>
          </cell>
          <cell r="Q236" t="str">
            <v>Male</v>
          </cell>
          <cell r="R236">
            <v>96.783561643835654</v>
          </cell>
          <cell r="U236" t="str">
            <v>50BronzeMale</v>
          </cell>
          <cell r="V236">
            <v>50</v>
          </cell>
          <cell r="W236" t="str">
            <v>Bronze</v>
          </cell>
          <cell r="X236" t="str">
            <v>Male</v>
          </cell>
          <cell r="Y236">
            <v>0</v>
          </cell>
        </row>
        <row r="237">
          <cell r="N237" t="str">
            <v>45SilverFemale</v>
          </cell>
          <cell r="O237">
            <v>45</v>
          </cell>
          <cell r="P237" t="str">
            <v>Silver</v>
          </cell>
          <cell r="Q237" t="str">
            <v>Female</v>
          </cell>
          <cell r="R237">
            <v>16.213698630136989</v>
          </cell>
          <cell r="U237" t="str">
            <v>50GoldFemale</v>
          </cell>
          <cell r="V237">
            <v>50</v>
          </cell>
          <cell r="W237" t="str">
            <v>Gold</v>
          </cell>
          <cell r="X237" t="str">
            <v>Female</v>
          </cell>
          <cell r="Y237">
            <v>24.400464106594807</v>
          </cell>
        </row>
        <row r="238">
          <cell r="N238" t="str">
            <v>45SilverMale</v>
          </cell>
          <cell r="O238">
            <v>45</v>
          </cell>
          <cell r="P238" t="str">
            <v>Silver</v>
          </cell>
          <cell r="Q238" t="str">
            <v>Male</v>
          </cell>
          <cell r="R238">
            <v>127.9808219178082</v>
          </cell>
          <cell r="U238" t="str">
            <v>50GoldMale</v>
          </cell>
          <cell r="V238">
            <v>50</v>
          </cell>
          <cell r="W238" t="str">
            <v>Gold</v>
          </cell>
          <cell r="X238" t="str">
            <v>Male</v>
          </cell>
          <cell r="Y238">
            <v>4.6712328767123292</v>
          </cell>
        </row>
        <row r="239">
          <cell r="N239" t="str">
            <v>46BasicFemale</v>
          </cell>
          <cell r="O239">
            <v>46</v>
          </cell>
          <cell r="P239" t="str">
            <v>Basic</v>
          </cell>
          <cell r="Q239" t="str">
            <v>Female</v>
          </cell>
          <cell r="R239">
            <v>5.0767123287671243</v>
          </cell>
          <cell r="U239" t="str">
            <v>50SilverFemale</v>
          </cell>
          <cell r="V239">
            <v>50</v>
          </cell>
          <cell r="W239" t="str">
            <v>Silver</v>
          </cell>
          <cell r="X239" t="str">
            <v>Female</v>
          </cell>
          <cell r="Y239">
            <v>29.74246575342465</v>
          </cell>
        </row>
        <row r="240">
          <cell r="N240" t="str">
            <v>46BasicMale</v>
          </cell>
          <cell r="O240">
            <v>46</v>
          </cell>
          <cell r="P240" t="str">
            <v>Basic</v>
          </cell>
          <cell r="Q240" t="str">
            <v>Male</v>
          </cell>
          <cell r="R240">
            <v>35.517808219178072</v>
          </cell>
          <cell r="U240" t="str">
            <v>50SilverMale</v>
          </cell>
          <cell r="V240">
            <v>50</v>
          </cell>
          <cell r="W240" t="str">
            <v>Silver</v>
          </cell>
          <cell r="X240" t="str">
            <v>Male</v>
          </cell>
          <cell r="Y240">
            <v>4.3479452054794523</v>
          </cell>
        </row>
        <row r="241">
          <cell r="N241" t="str">
            <v>46BronzeFemale</v>
          </cell>
          <cell r="O241">
            <v>46</v>
          </cell>
          <cell r="P241" t="str">
            <v>Bronze</v>
          </cell>
          <cell r="Q241" t="str">
            <v>Female</v>
          </cell>
          <cell r="R241">
            <v>0</v>
          </cell>
          <cell r="U241" t="str">
            <v>51BasicFemale</v>
          </cell>
          <cell r="V241">
            <v>51</v>
          </cell>
          <cell r="W241" t="str">
            <v>Basic</v>
          </cell>
          <cell r="X241" t="str">
            <v>Female</v>
          </cell>
          <cell r="Y241">
            <v>2.7671232876712333</v>
          </cell>
        </row>
        <row r="242">
          <cell r="N242" t="str">
            <v>46BronzeMale</v>
          </cell>
          <cell r="O242">
            <v>46</v>
          </cell>
          <cell r="P242" t="str">
            <v>Bronze</v>
          </cell>
          <cell r="Q242" t="str">
            <v>Male</v>
          </cell>
          <cell r="R242">
            <v>0</v>
          </cell>
          <cell r="U242" t="str">
            <v>51BasicMale</v>
          </cell>
          <cell r="V242">
            <v>51</v>
          </cell>
          <cell r="W242" t="str">
            <v>Basic</v>
          </cell>
          <cell r="X242" t="str">
            <v>Male</v>
          </cell>
          <cell r="Y242">
            <v>3.0164383561643842</v>
          </cell>
        </row>
        <row r="243">
          <cell r="N243" t="str">
            <v>46GoldFemale</v>
          </cell>
          <cell r="O243">
            <v>46</v>
          </cell>
          <cell r="P243" t="str">
            <v>Gold</v>
          </cell>
          <cell r="Q243" t="str">
            <v>Female</v>
          </cell>
          <cell r="R243">
            <v>7.8684931506849312</v>
          </cell>
          <cell r="U243" t="str">
            <v>51GoldFemale</v>
          </cell>
          <cell r="V243">
            <v>51</v>
          </cell>
          <cell r="W243" t="str">
            <v>Gold</v>
          </cell>
          <cell r="X243" t="str">
            <v>Female</v>
          </cell>
          <cell r="Y243">
            <v>23.93972602739726</v>
          </cell>
        </row>
        <row r="244">
          <cell r="N244" t="str">
            <v>46GoldMale</v>
          </cell>
          <cell r="O244">
            <v>46</v>
          </cell>
          <cell r="P244" t="str">
            <v>Gold</v>
          </cell>
          <cell r="Q244" t="str">
            <v>Male</v>
          </cell>
          <cell r="R244">
            <v>73.56507223594582</v>
          </cell>
          <cell r="U244" t="str">
            <v>51GoldMale</v>
          </cell>
          <cell r="V244">
            <v>51</v>
          </cell>
          <cell r="W244" t="str">
            <v>Gold</v>
          </cell>
          <cell r="X244" t="str">
            <v>Male</v>
          </cell>
          <cell r="Y244">
            <v>1.849315068493151</v>
          </cell>
        </row>
        <row r="245">
          <cell r="N245" t="str">
            <v>46SilverFemale</v>
          </cell>
          <cell r="O245">
            <v>46</v>
          </cell>
          <cell r="P245" t="str">
            <v>Silver</v>
          </cell>
          <cell r="Q245" t="str">
            <v>Female</v>
          </cell>
          <cell r="R245">
            <v>13.849315068493148</v>
          </cell>
          <cell r="U245" t="str">
            <v>51SilverFemale</v>
          </cell>
          <cell r="V245">
            <v>51</v>
          </cell>
          <cell r="W245" t="str">
            <v>Silver</v>
          </cell>
          <cell r="X245" t="str">
            <v>Female</v>
          </cell>
          <cell r="Y245">
            <v>29.865753424657523</v>
          </cell>
        </row>
        <row r="246">
          <cell r="N246" t="str">
            <v>46SilverMale</v>
          </cell>
          <cell r="O246">
            <v>46</v>
          </cell>
          <cell r="P246" t="str">
            <v>Silver</v>
          </cell>
          <cell r="Q246" t="str">
            <v>Male</v>
          </cell>
          <cell r="R246">
            <v>119.52602739726025</v>
          </cell>
          <cell r="U246" t="str">
            <v>51SilverMale</v>
          </cell>
          <cell r="V246">
            <v>51</v>
          </cell>
          <cell r="W246" t="str">
            <v>Silver</v>
          </cell>
          <cell r="X246" t="str">
            <v>Male</v>
          </cell>
          <cell r="Y246">
            <v>2</v>
          </cell>
        </row>
        <row r="247">
          <cell r="N247" t="str">
            <v>46SilverUnknown</v>
          </cell>
          <cell r="O247">
            <v>46</v>
          </cell>
          <cell r="P247" t="str">
            <v>Silver</v>
          </cell>
          <cell r="Q247" t="str">
            <v>Unknown</v>
          </cell>
          <cell r="R247">
            <v>1</v>
          </cell>
          <cell r="U247" t="str">
            <v>52BasicFemale</v>
          </cell>
          <cell r="V247">
            <v>52</v>
          </cell>
          <cell r="W247" t="str">
            <v>Basic</v>
          </cell>
          <cell r="X247" t="str">
            <v>Female</v>
          </cell>
          <cell r="Y247">
            <v>3.6986301369863015</v>
          </cell>
        </row>
        <row r="248">
          <cell r="N248" t="str">
            <v>47BasicFemale</v>
          </cell>
          <cell r="O248">
            <v>47</v>
          </cell>
          <cell r="P248" t="str">
            <v>Basic</v>
          </cell>
          <cell r="Q248" t="str">
            <v>Female</v>
          </cell>
          <cell r="R248">
            <v>1.715068493150685</v>
          </cell>
          <cell r="U248" t="str">
            <v>52BasicMale</v>
          </cell>
          <cell r="V248">
            <v>52</v>
          </cell>
          <cell r="W248" t="str">
            <v>Basic</v>
          </cell>
          <cell r="X248" t="str">
            <v>Male</v>
          </cell>
          <cell r="Y248">
            <v>1.1342465753424658</v>
          </cell>
        </row>
        <row r="249">
          <cell r="N249" t="str">
            <v>47BasicMale</v>
          </cell>
          <cell r="O249">
            <v>47</v>
          </cell>
          <cell r="P249" t="str">
            <v>Basic</v>
          </cell>
          <cell r="Q249" t="str">
            <v>Male</v>
          </cell>
          <cell r="R249">
            <v>28.279452054794518</v>
          </cell>
          <cell r="U249" t="str">
            <v>52GoldFemale</v>
          </cell>
          <cell r="V249">
            <v>52</v>
          </cell>
          <cell r="W249" t="str">
            <v>Gold</v>
          </cell>
          <cell r="X249" t="str">
            <v>Female</v>
          </cell>
          <cell r="Y249">
            <v>12.049315068493151</v>
          </cell>
        </row>
        <row r="250">
          <cell r="N250" t="str">
            <v>47BronzeFemale</v>
          </cell>
          <cell r="O250">
            <v>47</v>
          </cell>
          <cell r="P250" t="str">
            <v>Bronze</v>
          </cell>
          <cell r="Q250" t="str">
            <v>Female</v>
          </cell>
          <cell r="R250">
            <v>0</v>
          </cell>
          <cell r="U250" t="str">
            <v>52GoldMale</v>
          </cell>
          <cell r="V250">
            <v>52</v>
          </cell>
          <cell r="W250" t="str">
            <v>Gold</v>
          </cell>
          <cell r="X250" t="str">
            <v>Male</v>
          </cell>
          <cell r="Y250">
            <v>1.8383561643835615</v>
          </cell>
        </row>
        <row r="251">
          <cell r="N251" t="str">
            <v>47BronzeMale</v>
          </cell>
          <cell r="O251">
            <v>47</v>
          </cell>
          <cell r="P251" t="str">
            <v>Bronze</v>
          </cell>
          <cell r="Q251" t="str">
            <v>Male</v>
          </cell>
          <cell r="R251">
            <v>0</v>
          </cell>
          <cell r="U251" t="str">
            <v>52SilverFemale</v>
          </cell>
          <cell r="V251">
            <v>52</v>
          </cell>
          <cell r="W251" t="str">
            <v>Silver</v>
          </cell>
          <cell r="X251" t="str">
            <v>Female</v>
          </cell>
          <cell r="Y251">
            <v>18.564383561643833</v>
          </cell>
        </row>
        <row r="252">
          <cell r="N252" t="str">
            <v>47GoldFemale</v>
          </cell>
          <cell r="O252">
            <v>47</v>
          </cell>
          <cell r="P252" t="str">
            <v>Gold</v>
          </cell>
          <cell r="Q252" t="str">
            <v>Female</v>
          </cell>
          <cell r="R252">
            <v>7.4849315068493159</v>
          </cell>
          <cell r="U252" t="str">
            <v>52SilverMale</v>
          </cell>
          <cell r="V252">
            <v>52</v>
          </cell>
          <cell r="W252" t="str">
            <v>Silver</v>
          </cell>
          <cell r="X252" t="str">
            <v>Male</v>
          </cell>
          <cell r="Y252">
            <v>8.043835616438356</v>
          </cell>
        </row>
        <row r="253">
          <cell r="N253" t="str">
            <v>47GoldMale</v>
          </cell>
          <cell r="O253">
            <v>47</v>
          </cell>
          <cell r="P253" t="str">
            <v>Gold</v>
          </cell>
          <cell r="Q253" t="str">
            <v>Male</v>
          </cell>
          <cell r="R253">
            <v>70.333557901040535</v>
          </cell>
          <cell r="U253" t="str">
            <v>53BasicFemale</v>
          </cell>
          <cell r="V253">
            <v>53</v>
          </cell>
          <cell r="W253" t="str">
            <v>Basic</v>
          </cell>
          <cell r="X253" t="str">
            <v>Female</v>
          </cell>
          <cell r="Y253">
            <v>2.1835616438356169</v>
          </cell>
        </row>
        <row r="254">
          <cell r="N254" t="str">
            <v>47SilverFemale</v>
          </cell>
          <cell r="O254">
            <v>47</v>
          </cell>
          <cell r="P254" t="str">
            <v>Silver</v>
          </cell>
          <cell r="Q254" t="str">
            <v>Female</v>
          </cell>
          <cell r="R254">
            <v>9.6767123287671239</v>
          </cell>
          <cell r="U254" t="str">
            <v>53BasicMale</v>
          </cell>
          <cell r="V254">
            <v>53</v>
          </cell>
          <cell r="W254" t="str">
            <v>Basic</v>
          </cell>
          <cell r="X254" t="str">
            <v>Male</v>
          </cell>
          <cell r="Y254">
            <v>0</v>
          </cell>
        </row>
        <row r="255">
          <cell r="N255" t="str">
            <v>47SilverMale</v>
          </cell>
          <cell r="O255">
            <v>47</v>
          </cell>
          <cell r="P255" t="str">
            <v>Silver</v>
          </cell>
          <cell r="Q255" t="str">
            <v>Male</v>
          </cell>
          <cell r="R255">
            <v>110.0931506849315</v>
          </cell>
          <cell r="U255" t="str">
            <v>53GoldFemale</v>
          </cell>
          <cell r="V255">
            <v>53</v>
          </cell>
          <cell r="W255" t="str">
            <v>Gold</v>
          </cell>
          <cell r="X255" t="str">
            <v>Female</v>
          </cell>
          <cell r="Y255">
            <v>11.473972602739726</v>
          </cell>
        </row>
        <row r="256">
          <cell r="N256" t="str">
            <v>48BasicFemale</v>
          </cell>
          <cell r="O256">
            <v>48</v>
          </cell>
          <cell r="P256" t="str">
            <v>Basic</v>
          </cell>
          <cell r="Q256" t="str">
            <v>Female</v>
          </cell>
          <cell r="R256">
            <v>2.6684931506849314</v>
          </cell>
          <cell r="U256" t="str">
            <v>53GoldMale</v>
          </cell>
          <cell r="V256">
            <v>53</v>
          </cell>
          <cell r="W256" t="str">
            <v>Gold</v>
          </cell>
          <cell r="X256" t="str">
            <v>Male</v>
          </cell>
          <cell r="Y256">
            <v>1.3369863013698631</v>
          </cell>
        </row>
        <row r="257">
          <cell r="N257" t="str">
            <v>48BasicMale</v>
          </cell>
          <cell r="O257">
            <v>48</v>
          </cell>
          <cell r="P257" t="str">
            <v>Basic</v>
          </cell>
          <cell r="Q257" t="str">
            <v>Male</v>
          </cell>
          <cell r="R257">
            <v>20.799999999999997</v>
          </cell>
          <cell r="U257" t="str">
            <v>53SilverFemale</v>
          </cell>
          <cell r="V257">
            <v>53</v>
          </cell>
          <cell r="W257" t="str">
            <v>Silver</v>
          </cell>
          <cell r="X257" t="str">
            <v>Female</v>
          </cell>
          <cell r="Y257">
            <v>7.441095890410959</v>
          </cell>
        </row>
        <row r="258">
          <cell r="N258" t="str">
            <v>48BronzeMale</v>
          </cell>
          <cell r="O258">
            <v>48</v>
          </cell>
          <cell r="P258" t="str">
            <v>Bronze</v>
          </cell>
          <cell r="Q258" t="str">
            <v>Male</v>
          </cell>
          <cell r="R258">
            <v>0</v>
          </cell>
          <cell r="U258" t="str">
            <v>53SilverMale</v>
          </cell>
          <cell r="V258">
            <v>53</v>
          </cell>
          <cell r="W258" t="str">
            <v>Silver</v>
          </cell>
          <cell r="X258" t="str">
            <v>Male</v>
          </cell>
          <cell r="Y258">
            <v>4.6000000000000005</v>
          </cell>
        </row>
        <row r="259">
          <cell r="N259" t="str">
            <v>48GoldFemale</v>
          </cell>
          <cell r="O259">
            <v>48</v>
          </cell>
          <cell r="P259" t="str">
            <v>Gold</v>
          </cell>
          <cell r="Q259" t="str">
            <v>Female</v>
          </cell>
          <cell r="R259">
            <v>8</v>
          </cell>
          <cell r="U259" t="str">
            <v>54BasicFemale</v>
          </cell>
          <cell r="V259">
            <v>54</v>
          </cell>
          <cell r="W259" t="str">
            <v>Basic</v>
          </cell>
          <cell r="X259" t="str">
            <v>Female</v>
          </cell>
          <cell r="Y259">
            <v>0</v>
          </cell>
        </row>
        <row r="260">
          <cell r="N260" t="str">
            <v>48GoldMale</v>
          </cell>
          <cell r="O260">
            <v>48</v>
          </cell>
          <cell r="P260" t="str">
            <v>Gold</v>
          </cell>
          <cell r="Q260" t="str">
            <v>Male</v>
          </cell>
          <cell r="R260">
            <v>65.183561643835617</v>
          </cell>
          <cell r="U260" t="str">
            <v>54GoldFemale</v>
          </cell>
          <cell r="V260">
            <v>54</v>
          </cell>
          <cell r="W260" t="str">
            <v>Gold</v>
          </cell>
          <cell r="X260" t="str">
            <v>Female</v>
          </cell>
          <cell r="Y260">
            <v>9.3447413728572499</v>
          </cell>
        </row>
        <row r="261">
          <cell r="N261" t="str">
            <v>48SilverFemale</v>
          </cell>
          <cell r="O261">
            <v>48</v>
          </cell>
          <cell r="P261" t="str">
            <v>Silver</v>
          </cell>
          <cell r="Q261" t="str">
            <v>Female</v>
          </cell>
          <cell r="R261">
            <v>12.364383561643836</v>
          </cell>
          <cell r="U261" t="str">
            <v>54GoldMale</v>
          </cell>
          <cell r="V261">
            <v>54</v>
          </cell>
          <cell r="W261" t="str">
            <v>Gold</v>
          </cell>
          <cell r="X261" t="str">
            <v>Male</v>
          </cell>
          <cell r="Y261">
            <v>0.62465753424657533</v>
          </cell>
        </row>
        <row r="262">
          <cell r="N262" t="str">
            <v>48SilverMale</v>
          </cell>
          <cell r="O262">
            <v>48</v>
          </cell>
          <cell r="P262" t="str">
            <v>Silver</v>
          </cell>
          <cell r="Q262" t="str">
            <v>Male</v>
          </cell>
          <cell r="R262">
            <v>94.473972602739778</v>
          </cell>
          <cell r="U262" t="str">
            <v>54SilverFemale</v>
          </cell>
          <cell r="V262">
            <v>54</v>
          </cell>
          <cell r="W262" t="str">
            <v>Silver</v>
          </cell>
          <cell r="X262" t="str">
            <v>Female</v>
          </cell>
          <cell r="Y262">
            <v>4.1643835616438354</v>
          </cell>
        </row>
        <row r="263">
          <cell r="N263" t="str">
            <v>48SilverUnknown</v>
          </cell>
          <cell r="O263">
            <v>48</v>
          </cell>
          <cell r="P263" t="str">
            <v>Silver</v>
          </cell>
          <cell r="Q263" t="str">
            <v>Unknown</v>
          </cell>
          <cell r="R263">
            <v>1</v>
          </cell>
          <cell r="U263" t="str">
            <v>54SilverMale</v>
          </cell>
          <cell r="V263">
            <v>54</v>
          </cell>
          <cell r="W263" t="str">
            <v>Silver</v>
          </cell>
          <cell r="X263" t="str">
            <v>Male</v>
          </cell>
          <cell r="Y263">
            <v>0.70410958904109588</v>
          </cell>
        </row>
        <row r="264">
          <cell r="N264" t="str">
            <v>49BasicFemale</v>
          </cell>
          <cell r="O264">
            <v>49</v>
          </cell>
          <cell r="P264" t="str">
            <v>Basic</v>
          </cell>
          <cell r="Q264" t="str">
            <v>Female</v>
          </cell>
          <cell r="R264">
            <v>3</v>
          </cell>
          <cell r="U264" t="str">
            <v>55BasicFemale</v>
          </cell>
          <cell r="V264">
            <v>55</v>
          </cell>
          <cell r="W264" t="str">
            <v>Basic</v>
          </cell>
          <cell r="X264" t="str">
            <v>Female</v>
          </cell>
          <cell r="Y264">
            <v>0.8904109589041096</v>
          </cell>
        </row>
        <row r="265">
          <cell r="N265" t="str">
            <v>49BasicMale</v>
          </cell>
          <cell r="O265">
            <v>49</v>
          </cell>
          <cell r="P265" t="str">
            <v>Basic</v>
          </cell>
          <cell r="Q265" t="str">
            <v>Male</v>
          </cell>
          <cell r="R265">
            <v>21.665753424657531</v>
          </cell>
          <cell r="U265" t="str">
            <v>55GoldFemale</v>
          </cell>
          <cell r="V265">
            <v>55</v>
          </cell>
          <cell r="W265" t="str">
            <v>Gold</v>
          </cell>
          <cell r="X265" t="str">
            <v>Female</v>
          </cell>
          <cell r="Y265">
            <v>6.868493150684932</v>
          </cell>
        </row>
        <row r="266">
          <cell r="N266" t="str">
            <v>49BronzeMale</v>
          </cell>
          <cell r="O266">
            <v>49</v>
          </cell>
          <cell r="P266" t="str">
            <v>Bronze</v>
          </cell>
          <cell r="Q266" t="str">
            <v>Male</v>
          </cell>
          <cell r="R266">
            <v>0</v>
          </cell>
          <cell r="U266" t="str">
            <v>55GoldMale</v>
          </cell>
          <cell r="V266">
            <v>55</v>
          </cell>
          <cell r="W266" t="str">
            <v>Gold</v>
          </cell>
          <cell r="X266" t="str">
            <v>Male</v>
          </cell>
          <cell r="Y266">
            <v>1.7454375327494573</v>
          </cell>
        </row>
        <row r="267">
          <cell r="N267" t="str">
            <v>49GoldFemale</v>
          </cell>
          <cell r="O267">
            <v>49</v>
          </cell>
          <cell r="P267" t="str">
            <v>Gold</v>
          </cell>
          <cell r="Q267" t="str">
            <v>Female</v>
          </cell>
          <cell r="R267">
            <v>8.8027397260273972</v>
          </cell>
          <cell r="U267" t="str">
            <v>55SilverFemale</v>
          </cell>
          <cell r="V267">
            <v>55</v>
          </cell>
          <cell r="W267" t="str">
            <v>Silver</v>
          </cell>
          <cell r="X267" t="str">
            <v>Female</v>
          </cell>
          <cell r="Y267">
            <v>10.87945205479452</v>
          </cell>
        </row>
        <row r="268">
          <cell r="N268" t="str">
            <v>49GoldMale</v>
          </cell>
          <cell r="O268">
            <v>49</v>
          </cell>
          <cell r="P268" t="str">
            <v>Gold</v>
          </cell>
          <cell r="Q268" t="str">
            <v>Male</v>
          </cell>
          <cell r="R268">
            <v>58.031289767198132</v>
          </cell>
          <cell r="U268" t="str">
            <v>55SilverMale</v>
          </cell>
          <cell r="V268">
            <v>55</v>
          </cell>
          <cell r="W268" t="str">
            <v>Silver</v>
          </cell>
          <cell r="X268" t="str">
            <v>Male</v>
          </cell>
          <cell r="Y268">
            <v>3</v>
          </cell>
        </row>
        <row r="269">
          <cell r="N269" t="str">
            <v>49SilverFemale</v>
          </cell>
          <cell r="O269">
            <v>49</v>
          </cell>
          <cell r="P269" t="str">
            <v>Silver</v>
          </cell>
          <cell r="Q269" t="str">
            <v>Female</v>
          </cell>
          <cell r="R269">
            <v>10.134246575342466</v>
          </cell>
          <cell r="U269" t="str">
            <v>56BasicFemale</v>
          </cell>
          <cell r="V269">
            <v>56</v>
          </cell>
          <cell r="W269" t="str">
            <v>Basic</v>
          </cell>
          <cell r="X269" t="str">
            <v>Female</v>
          </cell>
          <cell r="Y269">
            <v>0</v>
          </cell>
        </row>
        <row r="270">
          <cell r="N270" t="str">
            <v>49SilverMale</v>
          </cell>
          <cell r="O270">
            <v>49</v>
          </cell>
          <cell r="P270" t="str">
            <v>Silver</v>
          </cell>
          <cell r="Q270" t="str">
            <v>Male</v>
          </cell>
          <cell r="R270">
            <v>94.126027397260316</v>
          </cell>
          <cell r="U270" t="str">
            <v>56BasicMale</v>
          </cell>
          <cell r="V270">
            <v>56</v>
          </cell>
          <cell r="W270" t="str">
            <v>Basic</v>
          </cell>
          <cell r="X270" t="str">
            <v>Male</v>
          </cell>
          <cell r="Y270">
            <v>0.8</v>
          </cell>
        </row>
        <row r="271">
          <cell r="N271" t="str">
            <v>50BasicFemale</v>
          </cell>
          <cell r="O271">
            <v>50</v>
          </cell>
          <cell r="P271" t="str">
            <v>Basic</v>
          </cell>
          <cell r="Q271" t="str">
            <v>Female</v>
          </cell>
          <cell r="R271">
            <v>2.4328767123287673</v>
          </cell>
          <cell r="U271" t="str">
            <v>56GoldFemale</v>
          </cell>
          <cell r="V271">
            <v>56</v>
          </cell>
          <cell r="W271" t="str">
            <v>Gold</v>
          </cell>
          <cell r="X271" t="str">
            <v>Female</v>
          </cell>
          <cell r="Y271">
            <v>3.2136986301369865</v>
          </cell>
        </row>
        <row r="272">
          <cell r="N272" t="str">
            <v>50BasicMale</v>
          </cell>
          <cell r="O272">
            <v>50</v>
          </cell>
          <cell r="P272" t="str">
            <v>Basic</v>
          </cell>
          <cell r="Q272" t="str">
            <v>Male</v>
          </cell>
          <cell r="R272">
            <v>21.446575342465753</v>
          </cell>
          <cell r="U272" t="str">
            <v>56GoldMale</v>
          </cell>
          <cell r="V272">
            <v>56</v>
          </cell>
          <cell r="W272" t="str">
            <v>Gold</v>
          </cell>
          <cell r="X272" t="str">
            <v>Male</v>
          </cell>
          <cell r="Y272">
            <v>2</v>
          </cell>
        </row>
        <row r="273">
          <cell r="N273" t="str">
            <v>50BronzeMale</v>
          </cell>
          <cell r="O273">
            <v>50</v>
          </cell>
          <cell r="P273" t="str">
            <v>Bronze</v>
          </cell>
          <cell r="Q273" t="str">
            <v>Male</v>
          </cell>
          <cell r="R273">
            <v>0</v>
          </cell>
          <cell r="U273" t="str">
            <v>56SilverFemale</v>
          </cell>
          <cell r="V273">
            <v>56</v>
          </cell>
          <cell r="W273" t="str">
            <v>Silver</v>
          </cell>
          <cell r="X273" t="str">
            <v>Female</v>
          </cell>
          <cell r="Y273">
            <v>10.928767123287669</v>
          </cell>
        </row>
        <row r="274">
          <cell r="N274" t="str">
            <v>50GoldFemale</v>
          </cell>
          <cell r="O274">
            <v>50</v>
          </cell>
          <cell r="P274" t="str">
            <v>Gold</v>
          </cell>
          <cell r="Q274" t="str">
            <v>Female</v>
          </cell>
          <cell r="R274">
            <v>9.4308256606033396</v>
          </cell>
          <cell r="U274" t="str">
            <v>56SilverMale</v>
          </cell>
          <cell r="V274">
            <v>56</v>
          </cell>
          <cell r="W274" t="str">
            <v>Silver</v>
          </cell>
          <cell r="X274" t="str">
            <v>Male</v>
          </cell>
          <cell r="Y274">
            <v>1</v>
          </cell>
        </row>
        <row r="275">
          <cell r="N275" t="str">
            <v>50GoldMale</v>
          </cell>
          <cell r="O275">
            <v>50</v>
          </cell>
          <cell r="P275" t="str">
            <v>Gold</v>
          </cell>
          <cell r="Q275" t="str">
            <v>Male</v>
          </cell>
          <cell r="R275">
            <v>50.847264016767738</v>
          </cell>
          <cell r="U275" t="str">
            <v>57BasicFemale</v>
          </cell>
          <cell r="V275">
            <v>57</v>
          </cell>
          <cell r="W275" t="str">
            <v>Basic</v>
          </cell>
          <cell r="X275" t="str">
            <v>Female</v>
          </cell>
          <cell r="Y275">
            <v>2.1671232876712327</v>
          </cell>
        </row>
        <row r="276">
          <cell r="N276" t="str">
            <v>50SilverFemale</v>
          </cell>
          <cell r="O276">
            <v>50</v>
          </cell>
          <cell r="P276" t="str">
            <v>Silver</v>
          </cell>
          <cell r="Q276" t="str">
            <v>Female</v>
          </cell>
          <cell r="R276">
            <v>10.550684931506849</v>
          </cell>
          <cell r="U276" t="str">
            <v>57BasicMale</v>
          </cell>
          <cell r="V276">
            <v>57</v>
          </cell>
          <cell r="W276" t="str">
            <v>Basic</v>
          </cell>
          <cell r="X276" t="str">
            <v>Male</v>
          </cell>
          <cell r="Y276">
            <v>0.69589041095890414</v>
          </cell>
        </row>
        <row r="277">
          <cell r="N277" t="str">
            <v>50SilverMale</v>
          </cell>
          <cell r="O277">
            <v>50</v>
          </cell>
          <cell r="P277" t="str">
            <v>Silver</v>
          </cell>
          <cell r="Q277" t="str">
            <v>Male</v>
          </cell>
          <cell r="R277">
            <v>84.347945205479476</v>
          </cell>
          <cell r="U277" t="str">
            <v>57GoldFemale</v>
          </cell>
          <cell r="V277">
            <v>57</v>
          </cell>
          <cell r="W277" t="str">
            <v>Gold</v>
          </cell>
          <cell r="X277" t="str">
            <v>Female</v>
          </cell>
          <cell r="Y277">
            <v>3</v>
          </cell>
        </row>
        <row r="278">
          <cell r="N278" t="str">
            <v>51BasicFemale</v>
          </cell>
          <cell r="O278">
            <v>51</v>
          </cell>
          <cell r="P278" t="str">
            <v>Basic</v>
          </cell>
          <cell r="Q278" t="str">
            <v>Female</v>
          </cell>
          <cell r="R278">
            <v>1.4191780821917808</v>
          </cell>
          <cell r="U278" t="str">
            <v>57GoldMale</v>
          </cell>
          <cell r="V278">
            <v>57</v>
          </cell>
          <cell r="W278" t="str">
            <v>Gold</v>
          </cell>
          <cell r="X278" t="str">
            <v>Male</v>
          </cell>
          <cell r="Y278">
            <v>1.9153005464480874</v>
          </cell>
        </row>
        <row r="279">
          <cell r="N279" t="str">
            <v>51BasicMale</v>
          </cell>
          <cell r="O279">
            <v>51</v>
          </cell>
          <cell r="P279" t="str">
            <v>Basic</v>
          </cell>
          <cell r="Q279" t="str">
            <v>Male</v>
          </cell>
          <cell r="R279">
            <v>15.66301369863014</v>
          </cell>
          <cell r="U279" t="str">
            <v>57SilverFemale</v>
          </cell>
          <cell r="V279">
            <v>57</v>
          </cell>
          <cell r="W279" t="str">
            <v>Silver</v>
          </cell>
          <cell r="X279" t="str">
            <v>Female</v>
          </cell>
          <cell r="Y279">
            <v>8.079452054794519</v>
          </cell>
        </row>
        <row r="280">
          <cell r="N280" t="str">
            <v>51BronzeFemale</v>
          </cell>
          <cell r="O280">
            <v>51</v>
          </cell>
          <cell r="P280" t="str">
            <v>Bronze</v>
          </cell>
          <cell r="Q280" t="str">
            <v>Female</v>
          </cell>
          <cell r="R280">
            <v>0</v>
          </cell>
          <cell r="U280" t="str">
            <v>57SilverMale</v>
          </cell>
          <cell r="V280">
            <v>57</v>
          </cell>
          <cell r="W280" t="str">
            <v>Silver</v>
          </cell>
          <cell r="X280" t="str">
            <v>Male</v>
          </cell>
          <cell r="Y280">
            <v>0.68767123287671228</v>
          </cell>
        </row>
        <row r="281">
          <cell r="N281" t="str">
            <v>51GoldFemale</v>
          </cell>
          <cell r="O281">
            <v>51</v>
          </cell>
          <cell r="P281" t="str">
            <v>Gold</v>
          </cell>
          <cell r="Q281" t="str">
            <v>Female</v>
          </cell>
          <cell r="R281">
            <v>4.4219178082191783</v>
          </cell>
          <cell r="U281" t="str">
            <v>58BasicFemale</v>
          </cell>
          <cell r="V281">
            <v>58</v>
          </cell>
          <cell r="W281" t="str">
            <v>Basic</v>
          </cell>
          <cell r="X281" t="str">
            <v>Female</v>
          </cell>
          <cell r="Y281">
            <v>3.4328767123287673</v>
          </cell>
        </row>
        <row r="282">
          <cell r="N282" t="str">
            <v>51GoldMale</v>
          </cell>
          <cell r="O282">
            <v>51</v>
          </cell>
          <cell r="P282" t="str">
            <v>Gold</v>
          </cell>
          <cell r="Q282" t="str">
            <v>Male</v>
          </cell>
          <cell r="R282">
            <v>42.772138633131235</v>
          </cell>
          <cell r="U282" t="str">
            <v>58BasicMale</v>
          </cell>
          <cell r="V282">
            <v>58</v>
          </cell>
          <cell r="W282" t="str">
            <v>Basic</v>
          </cell>
          <cell r="X282" t="str">
            <v>Male</v>
          </cell>
          <cell r="Y282">
            <v>1</v>
          </cell>
        </row>
        <row r="283">
          <cell r="N283" t="str">
            <v>51SilverFemale</v>
          </cell>
          <cell r="O283">
            <v>51</v>
          </cell>
          <cell r="P283" t="str">
            <v>Silver</v>
          </cell>
          <cell r="Q283" t="str">
            <v>Female</v>
          </cell>
          <cell r="R283">
            <v>7.2109589041095878</v>
          </cell>
          <cell r="U283" t="str">
            <v>58GoldFemale</v>
          </cell>
          <cell r="V283">
            <v>58</v>
          </cell>
          <cell r="W283" t="str">
            <v>Gold</v>
          </cell>
          <cell r="X283" t="str">
            <v>Female</v>
          </cell>
          <cell r="Y283">
            <v>3.2602739726027399</v>
          </cell>
        </row>
        <row r="284">
          <cell r="N284" t="str">
            <v>51SilverMale</v>
          </cell>
          <cell r="O284">
            <v>51</v>
          </cell>
          <cell r="P284" t="str">
            <v>Silver</v>
          </cell>
          <cell r="Q284" t="str">
            <v>Male</v>
          </cell>
          <cell r="R284">
            <v>87.684931506849324</v>
          </cell>
          <cell r="U284" t="str">
            <v>58GoldMale</v>
          </cell>
          <cell r="V284">
            <v>58</v>
          </cell>
          <cell r="W284" t="str">
            <v>Gold</v>
          </cell>
          <cell r="X284" t="str">
            <v>Male</v>
          </cell>
          <cell r="Y284">
            <v>2</v>
          </cell>
        </row>
        <row r="285">
          <cell r="N285" t="str">
            <v>52BasicFemale</v>
          </cell>
          <cell r="O285">
            <v>52</v>
          </cell>
          <cell r="P285" t="str">
            <v>Basic</v>
          </cell>
          <cell r="Q285" t="str">
            <v>Female</v>
          </cell>
          <cell r="R285">
            <v>1.9095890410958904</v>
          </cell>
          <cell r="U285" t="str">
            <v>58SilverFemale</v>
          </cell>
          <cell r="V285">
            <v>58</v>
          </cell>
          <cell r="W285" t="str">
            <v>Silver</v>
          </cell>
          <cell r="X285" t="str">
            <v>Female</v>
          </cell>
          <cell r="Y285">
            <v>1.9726027397260273</v>
          </cell>
        </row>
        <row r="286">
          <cell r="N286" t="str">
            <v>52BasicMale</v>
          </cell>
          <cell r="O286">
            <v>52</v>
          </cell>
          <cell r="P286" t="str">
            <v>Basic</v>
          </cell>
          <cell r="Q286" t="str">
            <v>Male</v>
          </cell>
          <cell r="R286">
            <v>13.227397260273973</v>
          </cell>
          <cell r="U286" t="str">
            <v>58SilverMale</v>
          </cell>
          <cell r="V286">
            <v>58</v>
          </cell>
          <cell r="W286" t="str">
            <v>Silver</v>
          </cell>
          <cell r="X286" t="str">
            <v>Male</v>
          </cell>
          <cell r="Y286">
            <v>0.98356164383561639</v>
          </cell>
        </row>
        <row r="287">
          <cell r="N287" t="str">
            <v>52BronzeMale</v>
          </cell>
          <cell r="O287">
            <v>52</v>
          </cell>
          <cell r="P287" t="str">
            <v>Bronze</v>
          </cell>
          <cell r="Q287" t="str">
            <v>Male</v>
          </cell>
          <cell r="R287">
            <v>0</v>
          </cell>
          <cell r="U287" t="str">
            <v>59BasicFemale</v>
          </cell>
          <cell r="V287">
            <v>59</v>
          </cell>
          <cell r="W287" t="str">
            <v>Basic</v>
          </cell>
          <cell r="X287" t="str">
            <v>Female</v>
          </cell>
          <cell r="Y287">
            <v>1</v>
          </cell>
        </row>
        <row r="288">
          <cell r="N288" t="str">
            <v>52GoldFemale</v>
          </cell>
          <cell r="O288">
            <v>52</v>
          </cell>
          <cell r="P288" t="str">
            <v>Gold</v>
          </cell>
          <cell r="Q288" t="str">
            <v>Female</v>
          </cell>
          <cell r="R288">
            <v>2</v>
          </cell>
          <cell r="U288" t="str">
            <v>59GoldFemale</v>
          </cell>
          <cell r="V288">
            <v>59</v>
          </cell>
          <cell r="W288" t="str">
            <v>Gold</v>
          </cell>
          <cell r="X288" t="str">
            <v>Female</v>
          </cell>
          <cell r="Y288">
            <v>2</v>
          </cell>
        </row>
        <row r="289">
          <cell r="N289" t="str">
            <v>52GoldMale</v>
          </cell>
          <cell r="O289">
            <v>52</v>
          </cell>
          <cell r="P289" t="str">
            <v>Gold</v>
          </cell>
          <cell r="Q289" t="str">
            <v>Male</v>
          </cell>
          <cell r="R289">
            <v>32.649315068493152</v>
          </cell>
          <cell r="U289" t="str">
            <v>59GoldMale</v>
          </cell>
          <cell r="V289">
            <v>59</v>
          </cell>
          <cell r="W289" t="str">
            <v>Gold</v>
          </cell>
          <cell r="X289" t="str">
            <v>Male</v>
          </cell>
          <cell r="Y289">
            <v>2.5728347930234299</v>
          </cell>
        </row>
        <row r="290">
          <cell r="N290" t="str">
            <v>52SilverFemale</v>
          </cell>
          <cell r="O290">
            <v>52</v>
          </cell>
          <cell r="P290" t="str">
            <v>Silver</v>
          </cell>
          <cell r="Q290" t="str">
            <v>Female</v>
          </cell>
          <cell r="R290">
            <v>4.1506849315068495</v>
          </cell>
          <cell r="U290" t="str">
            <v>59SilverFemale</v>
          </cell>
          <cell r="V290">
            <v>59</v>
          </cell>
          <cell r="W290" t="str">
            <v>Silver</v>
          </cell>
          <cell r="X290" t="str">
            <v>Female</v>
          </cell>
          <cell r="Y290">
            <v>6.0602739726027401</v>
          </cell>
        </row>
        <row r="291">
          <cell r="N291" t="str">
            <v>52SilverMale</v>
          </cell>
          <cell r="O291">
            <v>52</v>
          </cell>
          <cell r="P291" t="str">
            <v>Silver</v>
          </cell>
          <cell r="Q291" t="str">
            <v>Male</v>
          </cell>
          <cell r="R291">
            <v>64.616438356164394</v>
          </cell>
          <cell r="U291" t="str">
            <v>59SilverMale</v>
          </cell>
          <cell r="V291">
            <v>59</v>
          </cell>
          <cell r="W291" t="str">
            <v>Silver</v>
          </cell>
          <cell r="X291" t="str">
            <v>Male</v>
          </cell>
          <cell r="Y291">
            <v>1.8301369863013699</v>
          </cell>
        </row>
        <row r="292">
          <cell r="N292" t="str">
            <v>53BasicFemale</v>
          </cell>
          <cell r="O292">
            <v>53</v>
          </cell>
          <cell r="P292" t="str">
            <v>Basic</v>
          </cell>
          <cell r="Q292" t="str">
            <v>Female</v>
          </cell>
          <cell r="R292">
            <v>4.6657534246575345</v>
          </cell>
          <cell r="U292" t="str">
            <v>60BasicFemale</v>
          </cell>
          <cell r="V292">
            <v>60</v>
          </cell>
          <cell r="W292" t="str">
            <v>Basic</v>
          </cell>
          <cell r="X292" t="str">
            <v>Female</v>
          </cell>
          <cell r="Y292">
            <v>0</v>
          </cell>
        </row>
        <row r="293">
          <cell r="N293" t="str">
            <v>53BasicMale</v>
          </cell>
          <cell r="O293">
            <v>53</v>
          </cell>
          <cell r="P293" t="str">
            <v>Basic</v>
          </cell>
          <cell r="Q293" t="str">
            <v>Male</v>
          </cell>
          <cell r="R293">
            <v>9.7013698630137011</v>
          </cell>
          <cell r="U293" t="str">
            <v>60BronzeMale</v>
          </cell>
          <cell r="V293">
            <v>60</v>
          </cell>
          <cell r="W293" t="str">
            <v>Bronze</v>
          </cell>
          <cell r="X293" t="str">
            <v>Male</v>
          </cell>
          <cell r="Y293">
            <v>0</v>
          </cell>
        </row>
        <row r="294">
          <cell r="N294" t="str">
            <v>53BronzeMale</v>
          </cell>
          <cell r="O294">
            <v>53</v>
          </cell>
          <cell r="P294" t="str">
            <v>Bronze</v>
          </cell>
          <cell r="Q294" t="str">
            <v>Male</v>
          </cell>
          <cell r="R294">
            <v>0</v>
          </cell>
          <cell r="U294" t="str">
            <v>60GoldFemale</v>
          </cell>
          <cell r="V294">
            <v>60</v>
          </cell>
          <cell r="W294" t="str">
            <v>Gold</v>
          </cell>
          <cell r="X294" t="str">
            <v>Female</v>
          </cell>
          <cell r="Y294">
            <v>3</v>
          </cell>
        </row>
        <row r="295">
          <cell r="N295" t="str">
            <v>53GoldFemale</v>
          </cell>
          <cell r="O295">
            <v>53</v>
          </cell>
          <cell r="P295" t="str">
            <v>Gold</v>
          </cell>
          <cell r="Q295" t="str">
            <v>Female</v>
          </cell>
          <cell r="R295">
            <v>4</v>
          </cell>
          <cell r="U295" t="str">
            <v>60GoldMale</v>
          </cell>
          <cell r="V295">
            <v>60</v>
          </cell>
          <cell r="W295" t="str">
            <v>Gold</v>
          </cell>
          <cell r="X295" t="str">
            <v>Male</v>
          </cell>
          <cell r="Y295">
            <v>2</v>
          </cell>
        </row>
        <row r="296">
          <cell r="N296" t="str">
            <v>53GoldMale</v>
          </cell>
          <cell r="O296">
            <v>53</v>
          </cell>
          <cell r="P296" t="str">
            <v>Gold</v>
          </cell>
          <cell r="Q296" t="str">
            <v>Male</v>
          </cell>
          <cell r="R296">
            <v>34.728767123287668</v>
          </cell>
          <cell r="U296" t="str">
            <v>60SilverFemale</v>
          </cell>
          <cell r="V296">
            <v>60</v>
          </cell>
          <cell r="W296" t="str">
            <v>Silver</v>
          </cell>
          <cell r="X296" t="str">
            <v>Female</v>
          </cell>
          <cell r="Y296">
            <v>4.0493150684931507</v>
          </cell>
        </row>
        <row r="297">
          <cell r="N297" t="str">
            <v>53SilverFemale</v>
          </cell>
          <cell r="O297">
            <v>53</v>
          </cell>
          <cell r="P297" t="str">
            <v>Silver</v>
          </cell>
          <cell r="Q297" t="str">
            <v>Female</v>
          </cell>
          <cell r="R297">
            <v>2.3726027397260272</v>
          </cell>
          <cell r="U297" t="str">
            <v>60SilverMale</v>
          </cell>
          <cell r="V297">
            <v>60</v>
          </cell>
          <cell r="W297" t="str">
            <v>Silver</v>
          </cell>
          <cell r="X297" t="str">
            <v>Male</v>
          </cell>
          <cell r="Y297">
            <v>2</v>
          </cell>
        </row>
        <row r="298">
          <cell r="N298" t="str">
            <v>53SilverMale</v>
          </cell>
          <cell r="O298">
            <v>53</v>
          </cell>
          <cell r="P298" t="str">
            <v>Silver</v>
          </cell>
          <cell r="Q298" t="str">
            <v>Male</v>
          </cell>
          <cell r="R298">
            <v>69.438356164383592</v>
          </cell>
          <cell r="U298" t="str">
            <v>61BasicFemale</v>
          </cell>
          <cell r="V298">
            <v>61</v>
          </cell>
          <cell r="W298" t="str">
            <v>Basic</v>
          </cell>
          <cell r="X298" t="str">
            <v>Female</v>
          </cell>
          <cell r="Y298">
            <v>0.8</v>
          </cell>
        </row>
        <row r="299">
          <cell r="N299" t="str">
            <v>54BasicFemale</v>
          </cell>
          <cell r="O299">
            <v>54</v>
          </cell>
          <cell r="P299" t="str">
            <v>Basic</v>
          </cell>
          <cell r="Q299" t="str">
            <v>Female</v>
          </cell>
          <cell r="R299">
            <v>1.6328767123287671</v>
          </cell>
          <cell r="U299" t="str">
            <v>61GoldFemale</v>
          </cell>
          <cell r="V299">
            <v>61</v>
          </cell>
          <cell r="W299" t="str">
            <v>Gold</v>
          </cell>
          <cell r="X299" t="str">
            <v>Female</v>
          </cell>
          <cell r="Y299">
            <v>1.6246575342465754</v>
          </cell>
        </row>
        <row r="300">
          <cell r="N300" t="str">
            <v>54BasicMale</v>
          </cell>
          <cell r="O300">
            <v>54</v>
          </cell>
          <cell r="P300" t="str">
            <v>Basic</v>
          </cell>
          <cell r="Q300" t="str">
            <v>Male</v>
          </cell>
          <cell r="R300">
            <v>10.306849315068497</v>
          </cell>
          <cell r="U300" t="str">
            <v>61GoldMale</v>
          </cell>
          <cell r="V300">
            <v>61</v>
          </cell>
          <cell r="W300" t="str">
            <v>Gold</v>
          </cell>
          <cell r="X300" t="str">
            <v>Male</v>
          </cell>
          <cell r="Y300">
            <v>1.56986301369863</v>
          </cell>
        </row>
        <row r="301">
          <cell r="N301" t="str">
            <v>54BronzeMale</v>
          </cell>
          <cell r="O301">
            <v>54</v>
          </cell>
          <cell r="P301" t="str">
            <v>Bronze</v>
          </cell>
          <cell r="Q301" t="str">
            <v>Male</v>
          </cell>
          <cell r="R301">
            <v>0</v>
          </cell>
          <cell r="U301" t="str">
            <v>61SilverFemale</v>
          </cell>
          <cell r="V301">
            <v>61</v>
          </cell>
          <cell r="W301" t="str">
            <v>Silver</v>
          </cell>
          <cell r="X301" t="str">
            <v>Female</v>
          </cell>
          <cell r="Y301">
            <v>2.6904109589041094</v>
          </cell>
        </row>
        <row r="302">
          <cell r="N302" t="str">
            <v>54GoldFemale</v>
          </cell>
          <cell r="O302">
            <v>54</v>
          </cell>
          <cell r="P302" t="str">
            <v>Gold</v>
          </cell>
          <cell r="Q302" t="str">
            <v>Female</v>
          </cell>
          <cell r="R302">
            <v>4.2986301369863016</v>
          </cell>
          <cell r="U302" t="str">
            <v>61SilverMale</v>
          </cell>
          <cell r="V302">
            <v>61</v>
          </cell>
          <cell r="W302" t="str">
            <v>Silver</v>
          </cell>
          <cell r="X302" t="str">
            <v>Male</v>
          </cell>
          <cell r="Y302">
            <v>0.8</v>
          </cell>
        </row>
        <row r="303">
          <cell r="N303" t="str">
            <v>54GoldMale</v>
          </cell>
          <cell r="O303">
            <v>54</v>
          </cell>
          <cell r="P303" t="str">
            <v>Gold</v>
          </cell>
          <cell r="Q303" t="str">
            <v>Male</v>
          </cell>
          <cell r="R303">
            <v>38.569863013698637</v>
          </cell>
          <cell r="U303" t="str">
            <v>62GoldFemale</v>
          </cell>
          <cell r="V303">
            <v>62</v>
          </cell>
          <cell r="W303" t="str">
            <v>Gold</v>
          </cell>
          <cell r="X303" t="str">
            <v>Female</v>
          </cell>
          <cell r="Y303">
            <v>8.4931506849315067E-2</v>
          </cell>
        </row>
        <row r="304">
          <cell r="N304" t="str">
            <v>54SilverFemale</v>
          </cell>
          <cell r="O304">
            <v>54</v>
          </cell>
          <cell r="P304" t="str">
            <v>Silver</v>
          </cell>
          <cell r="Q304" t="str">
            <v>Female</v>
          </cell>
          <cell r="R304">
            <v>2.7479452054794522</v>
          </cell>
          <cell r="U304" t="str">
            <v>62GoldMale</v>
          </cell>
          <cell r="V304">
            <v>62</v>
          </cell>
          <cell r="W304" t="str">
            <v>Gold</v>
          </cell>
          <cell r="X304" t="str">
            <v>Male</v>
          </cell>
          <cell r="Y304">
            <v>1</v>
          </cell>
        </row>
        <row r="305">
          <cell r="N305" t="str">
            <v>54SilverMale</v>
          </cell>
          <cell r="O305">
            <v>54</v>
          </cell>
          <cell r="P305" t="str">
            <v>Silver</v>
          </cell>
          <cell r="Q305" t="str">
            <v>Male</v>
          </cell>
          <cell r="R305">
            <v>51.221917808219182</v>
          </cell>
          <cell r="U305" t="str">
            <v>62SilverFemale</v>
          </cell>
          <cell r="V305">
            <v>62</v>
          </cell>
          <cell r="W305" t="str">
            <v>Silver</v>
          </cell>
          <cell r="X305" t="str">
            <v>Female</v>
          </cell>
          <cell r="Y305">
            <v>3.1534246575342464</v>
          </cell>
        </row>
        <row r="306">
          <cell r="N306" t="str">
            <v>55BasicFemale</v>
          </cell>
          <cell r="O306">
            <v>55</v>
          </cell>
          <cell r="P306" t="str">
            <v>Basic</v>
          </cell>
          <cell r="Q306" t="str">
            <v>Female</v>
          </cell>
          <cell r="R306">
            <v>1</v>
          </cell>
          <cell r="U306" t="str">
            <v>62SilverMale</v>
          </cell>
          <cell r="V306">
            <v>62</v>
          </cell>
          <cell r="W306" t="str">
            <v>Silver</v>
          </cell>
          <cell r="X306" t="str">
            <v>Male</v>
          </cell>
          <cell r="Y306">
            <v>0</v>
          </cell>
        </row>
        <row r="307">
          <cell r="N307" t="str">
            <v>55BasicMale</v>
          </cell>
          <cell r="O307">
            <v>55</v>
          </cell>
          <cell r="P307" t="str">
            <v>Basic</v>
          </cell>
          <cell r="Q307" t="str">
            <v>Male</v>
          </cell>
          <cell r="R307">
            <v>8.3095890410958901</v>
          </cell>
          <cell r="U307" t="str">
            <v>63SilverFemale</v>
          </cell>
          <cell r="V307">
            <v>63</v>
          </cell>
          <cell r="W307" t="str">
            <v>Silver</v>
          </cell>
          <cell r="X307" t="str">
            <v>Female</v>
          </cell>
          <cell r="Y307">
            <v>1.6575342465753424</v>
          </cell>
        </row>
        <row r="308">
          <cell r="N308" t="str">
            <v>55BronzeFemale</v>
          </cell>
          <cell r="O308">
            <v>55</v>
          </cell>
          <cell r="P308" t="str">
            <v>Bronze</v>
          </cell>
          <cell r="Q308" t="str">
            <v>Female</v>
          </cell>
          <cell r="R308">
            <v>0</v>
          </cell>
          <cell r="U308" t="str">
            <v>64GoldMale</v>
          </cell>
          <cell r="V308">
            <v>64</v>
          </cell>
          <cell r="W308" t="str">
            <v>Gold</v>
          </cell>
          <cell r="X308" t="str">
            <v>Male</v>
          </cell>
          <cell r="Y308">
            <v>0</v>
          </cell>
        </row>
        <row r="309">
          <cell r="N309" t="str">
            <v>55GoldFemale</v>
          </cell>
          <cell r="O309">
            <v>55</v>
          </cell>
          <cell r="P309" t="str">
            <v>Gold</v>
          </cell>
          <cell r="Q309" t="str">
            <v>Female</v>
          </cell>
          <cell r="R309">
            <v>3.3123287671232879</v>
          </cell>
          <cell r="U309" t="str">
            <v>64SilverFemale</v>
          </cell>
          <cell r="V309">
            <v>64</v>
          </cell>
          <cell r="W309" t="str">
            <v>Silver</v>
          </cell>
          <cell r="X309" t="str">
            <v>Female</v>
          </cell>
          <cell r="Y309">
            <v>0.65753424657534243</v>
          </cell>
        </row>
        <row r="310">
          <cell r="N310" t="str">
            <v>55GoldMale</v>
          </cell>
          <cell r="O310">
            <v>55</v>
          </cell>
          <cell r="P310" t="str">
            <v>Gold</v>
          </cell>
          <cell r="Q310" t="str">
            <v>Male</v>
          </cell>
          <cell r="R310">
            <v>33.542690321131829</v>
          </cell>
          <cell r="U310" t="str">
            <v>65SilverFemale</v>
          </cell>
          <cell r="V310">
            <v>65</v>
          </cell>
          <cell r="W310" t="str">
            <v>Silver</v>
          </cell>
          <cell r="X310" t="str">
            <v>Female</v>
          </cell>
          <cell r="Y310">
            <v>0</v>
          </cell>
        </row>
        <row r="311">
          <cell r="N311" t="str">
            <v>55SilverFemale</v>
          </cell>
          <cell r="O311">
            <v>55</v>
          </cell>
          <cell r="P311" t="str">
            <v>Silver</v>
          </cell>
          <cell r="Q311" t="str">
            <v>Female</v>
          </cell>
          <cell r="R311">
            <v>6.6493150684931503</v>
          </cell>
          <cell r="U311" t="str">
            <v>72SilverMale</v>
          </cell>
          <cell r="V311">
            <v>72</v>
          </cell>
          <cell r="W311" t="str">
            <v>Silver</v>
          </cell>
          <cell r="X311" t="str">
            <v>Male</v>
          </cell>
          <cell r="Y311">
            <v>1</v>
          </cell>
        </row>
        <row r="312">
          <cell r="N312" t="str">
            <v>55SilverMale</v>
          </cell>
          <cell r="O312">
            <v>55</v>
          </cell>
          <cell r="P312" t="str">
            <v>Silver</v>
          </cell>
          <cell r="Q312" t="str">
            <v>Male</v>
          </cell>
          <cell r="R312">
            <v>67.621917808219209</v>
          </cell>
          <cell r="U312" t="str">
            <v>74BasicFemale</v>
          </cell>
          <cell r="V312">
            <v>74</v>
          </cell>
          <cell r="W312" t="str">
            <v>Basic</v>
          </cell>
          <cell r="X312" t="str">
            <v>Female</v>
          </cell>
          <cell r="Y312">
            <v>0.40547945205479452</v>
          </cell>
        </row>
        <row r="313">
          <cell r="N313" t="str">
            <v>56BasicFemale</v>
          </cell>
          <cell r="O313">
            <v>56</v>
          </cell>
          <cell r="P313" t="str">
            <v>Basic</v>
          </cell>
          <cell r="Q313" t="str">
            <v>Female</v>
          </cell>
          <cell r="R313">
            <v>0.69315068493150689</v>
          </cell>
          <cell r="U313" t="str">
            <v>75BasicFemale</v>
          </cell>
          <cell r="V313">
            <v>75</v>
          </cell>
          <cell r="W313" t="str">
            <v>Basic</v>
          </cell>
          <cell r="X313" t="str">
            <v>Female</v>
          </cell>
          <cell r="Y313">
            <v>1</v>
          </cell>
        </row>
        <row r="314">
          <cell r="N314" t="str">
            <v>56BasicMale</v>
          </cell>
          <cell r="O314">
            <v>56</v>
          </cell>
          <cell r="P314" t="str">
            <v>Basic</v>
          </cell>
          <cell r="Q314" t="str">
            <v>Male</v>
          </cell>
          <cell r="R314">
            <v>12.597260273972603</v>
          </cell>
          <cell r="U314" t="str">
            <v>76BasicFemale</v>
          </cell>
          <cell r="V314">
            <v>76</v>
          </cell>
          <cell r="W314" t="str">
            <v>Basic</v>
          </cell>
          <cell r="X314" t="str">
            <v>Female</v>
          </cell>
          <cell r="Y314">
            <v>0.56986301369863013</v>
          </cell>
        </row>
        <row r="315">
          <cell r="N315" t="str">
            <v>56GoldFemale</v>
          </cell>
          <cell r="O315">
            <v>56</v>
          </cell>
          <cell r="P315" t="str">
            <v>Gold</v>
          </cell>
          <cell r="Q315" t="str">
            <v>Female</v>
          </cell>
          <cell r="R315">
            <v>3</v>
          </cell>
        </row>
        <row r="316">
          <cell r="N316" t="str">
            <v>56GoldMale</v>
          </cell>
          <cell r="O316">
            <v>56</v>
          </cell>
          <cell r="P316" t="str">
            <v>Gold</v>
          </cell>
          <cell r="Q316" t="str">
            <v>Male</v>
          </cell>
          <cell r="R316">
            <v>31.295890410958904</v>
          </cell>
        </row>
        <row r="317">
          <cell r="N317" t="str">
            <v>56SilverFemale</v>
          </cell>
          <cell r="O317">
            <v>56</v>
          </cell>
          <cell r="P317" t="str">
            <v>Silver</v>
          </cell>
          <cell r="Q317" t="str">
            <v>Female</v>
          </cell>
          <cell r="R317">
            <v>2.6630136986301371</v>
          </cell>
        </row>
        <row r="318">
          <cell r="N318" t="str">
            <v>56SilverMale</v>
          </cell>
          <cell r="O318">
            <v>56</v>
          </cell>
          <cell r="P318" t="str">
            <v>Silver</v>
          </cell>
          <cell r="Q318" t="str">
            <v>Male</v>
          </cell>
          <cell r="R318">
            <v>52.528767123287693</v>
          </cell>
        </row>
        <row r="319">
          <cell r="N319" t="str">
            <v>57BasicFemale</v>
          </cell>
          <cell r="O319">
            <v>57</v>
          </cell>
          <cell r="P319" t="str">
            <v>Basic</v>
          </cell>
          <cell r="Q319" t="str">
            <v>Female</v>
          </cell>
          <cell r="R319">
            <v>1.8739726027397261</v>
          </cell>
        </row>
        <row r="320">
          <cell r="N320" t="str">
            <v>57BasicMale</v>
          </cell>
          <cell r="O320">
            <v>57</v>
          </cell>
          <cell r="P320" t="str">
            <v>Basic</v>
          </cell>
          <cell r="Q320" t="str">
            <v>Male</v>
          </cell>
          <cell r="R320">
            <v>8.1835616438356169</v>
          </cell>
        </row>
        <row r="321">
          <cell r="N321" t="str">
            <v>57GoldFemale</v>
          </cell>
          <cell r="O321">
            <v>57</v>
          </cell>
          <cell r="P321" t="str">
            <v>Gold</v>
          </cell>
          <cell r="Q321" t="str">
            <v>Female</v>
          </cell>
          <cell r="R321">
            <v>4.8301369863013699</v>
          </cell>
        </row>
        <row r="322">
          <cell r="N322" t="str">
            <v>57GoldMale</v>
          </cell>
          <cell r="O322">
            <v>57</v>
          </cell>
          <cell r="P322" t="str">
            <v>Gold</v>
          </cell>
          <cell r="Q322" t="str">
            <v>Male</v>
          </cell>
          <cell r="R322">
            <v>22.353424657534248</v>
          </cell>
        </row>
        <row r="323">
          <cell r="N323" t="str">
            <v>57SilverFemale</v>
          </cell>
          <cell r="O323">
            <v>57</v>
          </cell>
          <cell r="P323" t="str">
            <v>Silver</v>
          </cell>
          <cell r="Q323" t="str">
            <v>Female</v>
          </cell>
          <cell r="R323">
            <v>3</v>
          </cell>
        </row>
        <row r="324">
          <cell r="N324" t="str">
            <v>57SilverMale</v>
          </cell>
          <cell r="O324">
            <v>57</v>
          </cell>
          <cell r="P324" t="str">
            <v>Silver</v>
          </cell>
          <cell r="Q324" t="str">
            <v>Male</v>
          </cell>
          <cell r="R324">
            <v>32.610958904109573</v>
          </cell>
        </row>
        <row r="325">
          <cell r="N325" t="str">
            <v>58BasicFemale</v>
          </cell>
          <cell r="O325">
            <v>58</v>
          </cell>
          <cell r="P325" t="str">
            <v>Basic</v>
          </cell>
          <cell r="Q325" t="str">
            <v>Female</v>
          </cell>
          <cell r="R325">
            <v>6.0273972602739728E-2</v>
          </cell>
        </row>
        <row r="326">
          <cell r="N326" t="str">
            <v>58BasicMale</v>
          </cell>
          <cell r="O326">
            <v>58</v>
          </cell>
          <cell r="P326" t="str">
            <v>Basic</v>
          </cell>
          <cell r="Q326" t="str">
            <v>Male</v>
          </cell>
          <cell r="R326">
            <v>7.6493150684931503</v>
          </cell>
        </row>
        <row r="327">
          <cell r="N327" t="str">
            <v>58BronzeFemale</v>
          </cell>
          <cell r="O327">
            <v>58</v>
          </cell>
          <cell r="P327" t="str">
            <v>Bronze</v>
          </cell>
          <cell r="Q327" t="str">
            <v>Female</v>
          </cell>
          <cell r="R327">
            <v>0</v>
          </cell>
        </row>
        <row r="328">
          <cell r="N328" t="str">
            <v>58GoldFemale</v>
          </cell>
          <cell r="O328">
            <v>58</v>
          </cell>
          <cell r="P328" t="str">
            <v>Gold</v>
          </cell>
          <cell r="Q328" t="str">
            <v>Female</v>
          </cell>
          <cell r="R328">
            <v>3.6246575342465754</v>
          </cell>
        </row>
        <row r="329">
          <cell r="N329" t="str">
            <v>58GoldMale</v>
          </cell>
          <cell r="O329">
            <v>58</v>
          </cell>
          <cell r="P329" t="str">
            <v>Gold</v>
          </cell>
          <cell r="Q329" t="str">
            <v>Male</v>
          </cell>
          <cell r="R329">
            <v>19.397260273972602</v>
          </cell>
        </row>
        <row r="330">
          <cell r="N330" t="str">
            <v>58SilverFemale</v>
          </cell>
          <cell r="O330">
            <v>58</v>
          </cell>
          <cell r="P330" t="str">
            <v>Silver</v>
          </cell>
          <cell r="Q330" t="str">
            <v>Female</v>
          </cell>
          <cell r="R330">
            <v>6.0602739726027393</v>
          </cell>
        </row>
        <row r="331">
          <cell r="N331" t="str">
            <v>58SilverMale</v>
          </cell>
          <cell r="O331">
            <v>58</v>
          </cell>
          <cell r="P331" t="str">
            <v>Silver</v>
          </cell>
          <cell r="Q331" t="str">
            <v>Male</v>
          </cell>
          <cell r="R331">
            <v>30.602739726027391</v>
          </cell>
        </row>
        <row r="332">
          <cell r="N332" t="str">
            <v>58SilverUnknown</v>
          </cell>
          <cell r="O332">
            <v>58</v>
          </cell>
          <cell r="P332" t="str">
            <v>Silver</v>
          </cell>
          <cell r="Q332" t="str">
            <v>Unknown</v>
          </cell>
          <cell r="R332">
            <v>1</v>
          </cell>
        </row>
        <row r="333">
          <cell r="N333" t="str">
            <v>59BasicFemale</v>
          </cell>
          <cell r="O333">
            <v>59</v>
          </cell>
          <cell r="P333" t="str">
            <v>Basic</v>
          </cell>
          <cell r="Q333" t="str">
            <v>Female</v>
          </cell>
          <cell r="R333">
            <v>0.93698630136986305</v>
          </cell>
        </row>
        <row r="334">
          <cell r="N334" t="str">
            <v>59BasicMale</v>
          </cell>
          <cell r="O334">
            <v>59</v>
          </cell>
          <cell r="P334" t="str">
            <v>Basic</v>
          </cell>
          <cell r="Q334" t="str">
            <v>Male</v>
          </cell>
          <cell r="R334">
            <v>7.5616438356164384</v>
          </cell>
        </row>
        <row r="335">
          <cell r="N335" t="str">
            <v>59BronzeMale</v>
          </cell>
          <cell r="O335">
            <v>59</v>
          </cell>
          <cell r="P335" t="str">
            <v>Bronze</v>
          </cell>
          <cell r="Q335" t="str">
            <v>Male</v>
          </cell>
          <cell r="R335">
            <v>0</v>
          </cell>
        </row>
        <row r="336">
          <cell r="N336" t="str">
            <v>59GoldFemale</v>
          </cell>
          <cell r="O336">
            <v>59</v>
          </cell>
          <cell r="P336" t="str">
            <v>Gold</v>
          </cell>
          <cell r="Q336" t="str">
            <v>Female</v>
          </cell>
          <cell r="R336">
            <v>2.0164383561643837</v>
          </cell>
        </row>
        <row r="337">
          <cell r="N337" t="str">
            <v>59GoldMale</v>
          </cell>
          <cell r="O337">
            <v>59</v>
          </cell>
          <cell r="P337" t="str">
            <v>Gold</v>
          </cell>
          <cell r="Q337" t="str">
            <v>Male</v>
          </cell>
          <cell r="R337">
            <v>11.791780821917808</v>
          </cell>
        </row>
        <row r="338">
          <cell r="N338" t="str">
            <v>59SilverFemale</v>
          </cell>
          <cell r="O338">
            <v>59</v>
          </cell>
          <cell r="P338" t="str">
            <v>Silver</v>
          </cell>
          <cell r="Q338" t="str">
            <v>Female</v>
          </cell>
          <cell r="R338">
            <v>3.4493150684931506</v>
          </cell>
        </row>
        <row r="339">
          <cell r="N339" t="str">
            <v>59SilverMale</v>
          </cell>
          <cell r="O339">
            <v>59</v>
          </cell>
          <cell r="P339" t="str">
            <v>Silver</v>
          </cell>
          <cell r="Q339" t="str">
            <v>Male</v>
          </cell>
          <cell r="R339">
            <v>21.276712328767118</v>
          </cell>
        </row>
        <row r="340">
          <cell r="N340" t="str">
            <v>60BasicFemale</v>
          </cell>
          <cell r="O340">
            <v>60</v>
          </cell>
          <cell r="P340" t="str">
            <v>Basic</v>
          </cell>
          <cell r="Q340" t="str">
            <v>Female</v>
          </cell>
          <cell r="R340">
            <v>1</v>
          </cell>
        </row>
        <row r="341">
          <cell r="N341" t="str">
            <v>60BasicMale</v>
          </cell>
          <cell r="O341">
            <v>60</v>
          </cell>
          <cell r="P341" t="str">
            <v>Basic</v>
          </cell>
          <cell r="Q341" t="str">
            <v>Male</v>
          </cell>
          <cell r="R341">
            <v>2.5397260273972604</v>
          </cell>
        </row>
        <row r="342">
          <cell r="N342" t="str">
            <v>60BronzeFemale</v>
          </cell>
          <cell r="O342">
            <v>60</v>
          </cell>
          <cell r="P342" t="str">
            <v>Bronze</v>
          </cell>
          <cell r="Q342" t="str">
            <v>Female</v>
          </cell>
          <cell r="R342">
            <v>0</v>
          </cell>
        </row>
        <row r="343">
          <cell r="N343" t="str">
            <v>60GoldFemale</v>
          </cell>
          <cell r="O343">
            <v>60</v>
          </cell>
          <cell r="P343" t="str">
            <v>Gold</v>
          </cell>
          <cell r="Q343" t="str">
            <v>Female</v>
          </cell>
          <cell r="R343">
            <v>1</v>
          </cell>
        </row>
        <row r="344">
          <cell r="N344" t="str">
            <v>60GoldMale</v>
          </cell>
          <cell r="O344">
            <v>60</v>
          </cell>
          <cell r="P344" t="str">
            <v>Gold</v>
          </cell>
          <cell r="Q344" t="str">
            <v>Male</v>
          </cell>
          <cell r="R344">
            <v>5.5315068493150683</v>
          </cell>
        </row>
        <row r="345">
          <cell r="N345" t="str">
            <v>60SilverFemale</v>
          </cell>
          <cell r="O345">
            <v>60</v>
          </cell>
          <cell r="P345" t="str">
            <v>Silver</v>
          </cell>
          <cell r="Q345" t="str">
            <v>Female</v>
          </cell>
          <cell r="R345">
            <v>1.3917808219178083</v>
          </cell>
        </row>
        <row r="346">
          <cell r="N346" t="str">
            <v>60SilverMale</v>
          </cell>
          <cell r="O346">
            <v>60</v>
          </cell>
          <cell r="P346" t="str">
            <v>Silver</v>
          </cell>
          <cell r="Q346" t="str">
            <v>Male</v>
          </cell>
          <cell r="R346">
            <v>19.775342465753418</v>
          </cell>
        </row>
        <row r="347">
          <cell r="N347" t="str">
            <v>61BasicFemale</v>
          </cell>
          <cell r="O347">
            <v>61</v>
          </cell>
          <cell r="P347" t="str">
            <v>Basic</v>
          </cell>
          <cell r="Q347" t="str">
            <v>Female</v>
          </cell>
          <cell r="R347">
            <v>0.69589041095890414</v>
          </cell>
        </row>
        <row r="348">
          <cell r="N348" t="str">
            <v>61BasicMale</v>
          </cell>
          <cell r="O348">
            <v>61</v>
          </cell>
          <cell r="P348" t="str">
            <v>Basic</v>
          </cell>
          <cell r="Q348" t="str">
            <v>Male</v>
          </cell>
          <cell r="R348">
            <v>4.4164383561643836</v>
          </cell>
        </row>
        <row r="349">
          <cell r="N349" t="str">
            <v>61BronzeMale</v>
          </cell>
          <cell r="O349">
            <v>61</v>
          </cell>
          <cell r="P349" t="str">
            <v>Bronze</v>
          </cell>
          <cell r="Q349" t="str">
            <v>Male</v>
          </cell>
          <cell r="R349">
            <v>0</v>
          </cell>
        </row>
        <row r="350">
          <cell r="N350" t="str">
            <v>61GoldMale</v>
          </cell>
          <cell r="O350">
            <v>61</v>
          </cell>
          <cell r="P350" t="str">
            <v>Gold</v>
          </cell>
          <cell r="Q350" t="str">
            <v>Male</v>
          </cell>
          <cell r="R350">
            <v>3.8520547945205479</v>
          </cell>
        </row>
        <row r="351">
          <cell r="N351" t="str">
            <v>61SilverFemale</v>
          </cell>
          <cell r="O351">
            <v>61</v>
          </cell>
          <cell r="P351" t="str">
            <v>Silver</v>
          </cell>
          <cell r="Q351" t="str">
            <v>Female</v>
          </cell>
          <cell r="R351">
            <v>0.65753424657534243</v>
          </cell>
        </row>
        <row r="352">
          <cell r="N352" t="str">
            <v>61SilverMale</v>
          </cell>
          <cell r="O352">
            <v>61</v>
          </cell>
          <cell r="P352" t="str">
            <v>Silver</v>
          </cell>
          <cell r="Q352" t="str">
            <v>Male</v>
          </cell>
          <cell r="R352">
            <v>13.772602739726025</v>
          </cell>
        </row>
        <row r="353">
          <cell r="N353" t="str">
            <v>61SilverUnknown</v>
          </cell>
          <cell r="O353">
            <v>61</v>
          </cell>
          <cell r="P353" t="str">
            <v>Silver</v>
          </cell>
          <cell r="Q353" t="str">
            <v>Unknown</v>
          </cell>
          <cell r="R353">
            <v>1</v>
          </cell>
        </row>
        <row r="354">
          <cell r="N354" t="str">
            <v>62BasicMale</v>
          </cell>
          <cell r="O354">
            <v>62</v>
          </cell>
          <cell r="P354" t="str">
            <v>Basic</v>
          </cell>
          <cell r="Q354" t="str">
            <v>Male</v>
          </cell>
          <cell r="R354">
            <v>2.3671232876712329</v>
          </cell>
        </row>
        <row r="355">
          <cell r="N355" t="str">
            <v>62GoldMale</v>
          </cell>
          <cell r="O355">
            <v>62</v>
          </cell>
          <cell r="P355" t="str">
            <v>Gold</v>
          </cell>
          <cell r="Q355" t="str">
            <v>Male</v>
          </cell>
          <cell r="R355">
            <v>3.9808219178082189</v>
          </cell>
        </row>
        <row r="356">
          <cell r="N356" t="str">
            <v>62SilverMale</v>
          </cell>
          <cell r="O356">
            <v>62</v>
          </cell>
          <cell r="P356" t="str">
            <v>Silver</v>
          </cell>
          <cell r="Q356" t="str">
            <v>Male</v>
          </cell>
          <cell r="R356">
            <v>12.452054794520548</v>
          </cell>
        </row>
        <row r="357">
          <cell r="N357" t="str">
            <v>62SilverUnknown</v>
          </cell>
          <cell r="O357">
            <v>62</v>
          </cell>
          <cell r="P357" t="str">
            <v>Silver</v>
          </cell>
          <cell r="Q357" t="str">
            <v>Unknown</v>
          </cell>
          <cell r="R357">
            <v>1</v>
          </cell>
        </row>
        <row r="358">
          <cell r="N358" t="str">
            <v>63BasicMale</v>
          </cell>
          <cell r="O358">
            <v>63</v>
          </cell>
          <cell r="P358" t="str">
            <v>Basic</v>
          </cell>
          <cell r="Q358" t="str">
            <v>Male</v>
          </cell>
          <cell r="R358">
            <v>2.5205479452054793</v>
          </cell>
        </row>
        <row r="359">
          <cell r="N359" t="str">
            <v>63GoldMale</v>
          </cell>
          <cell r="O359">
            <v>63</v>
          </cell>
          <cell r="P359" t="str">
            <v>Gold</v>
          </cell>
          <cell r="Q359" t="str">
            <v>Male</v>
          </cell>
          <cell r="R359">
            <v>4.4547945205479458</v>
          </cell>
        </row>
        <row r="360">
          <cell r="N360" t="str">
            <v>63SilverFemale</v>
          </cell>
          <cell r="O360">
            <v>63</v>
          </cell>
          <cell r="P360" t="str">
            <v>Silver</v>
          </cell>
          <cell r="Q360" t="str">
            <v>Female</v>
          </cell>
          <cell r="R360">
            <v>0</v>
          </cell>
        </row>
        <row r="361">
          <cell r="N361" t="str">
            <v>63SilverMale</v>
          </cell>
          <cell r="O361">
            <v>63</v>
          </cell>
          <cell r="P361" t="str">
            <v>Silver</v>
          </cell>
          <cell r="Q361" t="str">
            <v>Male</v>
          </cell>
          <cell r="R361">
            <v>7.0767123287671225</v>
          </cell>
        </row>
        <row r="362">
          <cell r="N362" t="str">
            <v>64BasicMale</v>
          </cell>
          <cell r="O362">
            <v>64</v>
          </cell>
          <cell r="P362" t="str">
            <v>Basic</v>
          </cell>
          <cell r="Q362" t="str">
            <v>Male</v>
          </cell>
          <cell r="R362">
            <v>0.8</v>
          </cell>
        </row>
        <row r="363">
          <cell r="N363" t="str">
            <v>64BronzeMale</v>
          </cell>
          <cell r="O363">
            <v>64</v>
          </cell>
          <cell r="P363" t="str">
            <v>Bronze</v>
          </cell>
          <cell r="Q363" t="str">
            <v>Male</v>
          </cell>
          <cell r="R363">
            <v>0</v>
          </cell>
        </row>
        <row r="364">
          <cell r="N364" t="str">
            <v>64GoldMale</v>
          </cell>
          <cell r="O364">
            <v>64</v>
          </cell>
          <cell r="P364" t="str">
            <v>Gold</v>
          </cell>
          <cell r="Q364" t="str">
            <v>Male</v>
          </cell>
          <cell r="R364">
            <v>2.3561643835616439</v>
          </cell>
        </row>
        <row r="365">
          <cell r="N365" t="str">
            <v>64SilverFemale</v>
          </cell>
          <cell r="O365">
            <v>64</v>
          </cell>
          <cell r="P365" t="str">
            <v>Silver</v>
          </cell>
          <cell r="Q365" t="str">
            <v>Female</v>
          </cell>
          <cell r="R365">
            <v>1</v>
          </cell>
        </row>
        <row r="366">
          <cell r="N366" t="str">
            <v>64SilverMale</v>
          </cell>
          <cell r="O366">
            <v>64</v>
          </cell>
          <cell r="P366" t="str">
            <v>Silver</v>
          </cell>
          <cell r="Q366" t="str">
            <v>Male</v>
          </cell>
          <cell r="R366">
            <v>9.5698630136986313</v>
          </cell>
        </row>
        <row r="367">
          <cell r="N367" t="str">
            <v>65BasicFemale</v>
          </cell>
          <cell r="O367">
            <v>65</v>
          </cell>
          <cell r="P367" t="str">
            <v>Basic</v>
          </cell>
          <cell r="Q367" t="str">
            <v>Female</v>
          </cell>
          <cell r="R367">
            <v>1.1095890410958904</v>
          </cell>
        </row>
        <row r="368">
          <cell r="N368" t="str">
            <v>65BasicMale</v>
          </cell>
          <cell r="O368">
            <v>65</v>
          </cell>
          <cell r="P368" t="str">
            <v>Basic</v>
          </cell>
          <cell r="Q368" t="str">
            <v>Male</v>
          </cell>
          <cell r="R368">
            <v>0.8</v>
          </cell>
        </row>
        <row r="369">
          <cell r="N369" t="str">
            <v>65BronzeMale</v>
          </cell>
          <cell r="O369">
            <v>65</v>
          </cell>
          <cell r="P369" t="str">
            <v>Bronze</v>
          </cell>
          <cell r="Q369" t="str">
            <v>Male</v>
          </cell>
          <cell r="R369">
            <v>0</v>
          </cell>
        </row>
        <row r="370">
          <cell r="N370" t="str">
            <v>65GoldFemale</v>
          </cell>
          <cell r="O370">
            <v>65</v>
          </cell>
          <cell r="P370" t="str">
            <v>Gold</v>
          </cell>
          <cell r="Q370" t="str">
            <v>Female</v>
          </cell>
          <cell r="R370">
            <v>0.58082191780821912</v>
          </cell>
        </row>
        <row r="371">
          <cell r="N371" t="str">
            <v>65GoldMale</v>
          </cell>
          <cell r="O371">
            <v>65</v>
          </cell>
          <cell r="P371" t="str">
            <v>Gold</v>
          </cell>
          <cell r="Q371" t="str">
            <v>Male</v>
          </cell>
          <cell r="R371">
            <v>1.7506849315068493</v>
          </cell>
        </row>
        <row r="372">
          <cell r="N372" t="str">
            <v>65SilverFemale</v>
          </cell>
          <cell r="O372">
            <v>65</v>
          </cell>
          <cell r="P372" t="str">
            <v>Silver</v>
          </cell>
          <cell r="Q372" t="str">
            <v>Female</v>
          </cell>
          <cell r="R372">
            <v>1</v>
          </cell>
        </row>
        <row r="373">
          <cell r="N373" t="str">
            <v>65SilverMale</v>
          </cell>
          <cell r="O373">
            <v>65</v>
          </cell>
          <cell r="P373" t="str">
            <v>Silver</v>
          </cell>
          <cell r="Q373" t="str">
            <v>Male</v>
          </cell>
          <cell r="R373">
            <v>3.1808219178082191</v>
          </cell>
        </row>
        <row r="374">
          <cell r="N374" t="str">
            <v>66BasicMale</v>
          </cell>
          <cell r="O374">
            <v>66</v>
          </cell>
          <cell r="P374" t="str">
            <v>Basic</v>
          </cell>
          <cell r="Q374" t="str">
            <v>Male</v>
          </cell>
          <cell r="R374">
            <v>0.32602739726027397</v>
          </cell>
        </row>
        <row r="375">
          <cell r="N375" t="str">
            <v>66GoldFemale</v>
          </cell>
          <cell r="O375">
            <v>66</v>
          </cell>
          <cell r="P375" t="str">
            <v>Gold</v>
          </cell>
          <cell r="Q375" t="str">
            <v>Female</v>
          </cell>
          <cell r="R375">
            <v>1.0849315068493151</v>
          </cell>
        </row>
        <row r="376">
          <cell r="N376" t="str">
            <v>66SilverFemale</v>
          </cell>
          <cell r="O376">
            <v>66</v>
          </cell>
          <cell r="P376" t="str">
            <v>Silver</v>
          </cell>
          <cell r="Q376" t="str">
            <v>Female</v>
          </cell>
          <cell r="R376">
            <v>0.63287671232876708</v>
          </cell>
        </row>
        <row r="377">
          <cell r="N377" t="str">
            <v>66SilverMale</v>
          </cell>
          <cell r="O377">
            <v>66</v>
          </cell>
          <cell r="P377" t="str">
            <v>Silver</v>
          </cell>
          <cell r="Q377" t="str">
            <v>Male</v>
          </cell>
          <cell r="R377">
            <v>1.7863013698630137</v>
          </cell>
        </row>
        <row r="378">
          <cell r="N378" t="str">
            <v>67GoldMale</v>
          </cell>
          <cell r="O378">
            <v>67</v>
          </cell>
          <cell r="P378" t="str">
            <v>Gold</v>
          </cell>
          <cell r="Q378" t="str">
            <v>Male</v>
          </cell>
          <cell r="R378">
            <v>1</v>
          </cell>
        </row>
        <row r="379">
          <cell r="N379" t="str">
            <v>67SilverFemale</v>
          </cell>
          <cell r="O379">
            <v>67</v>
          </cell>
          <cell r="P379" t="str">
            <v>Silver</v>
          </cell>
          <cell r="Q379" t="str">
            <v>Female</v>
          </cell>
          <cell r="R379">
            <v>0</v>
          </cell>
        </row>
        <row r="380">
          <cell r="N380" t="str">
            <v>67SilverMale</v>
          </cell>
          <cell r="O380">
            <v>67</v>
          </cell>
          <cell r="P380" t="str">
            <v>Silver</v>
          </cell>
          <cell r="Q380" t="str">
            <v>Male</v>
          </cell>
          <cell r="R380">
            <v>4.5534246575342472</v>
          </cell>
        </row>
        <row r="381">
          <cell r="N381" t="str">
            <v>68GoldMale</v>
          </cell>
          <cell r="O381">
            <v>68</v>
          </cell>
          <cell r="P381" t="str">
            <v>Gold</v>
          </cell>
          <cell r="Q381" t="str">
            <v>Male</v>
          </cell>
          <cell r="R381">
            <v>1</v>
          </cell>
        </row>
        <row r="382">
          <cell r="N382" t="str">
            <v>68SilverMale</v>
          </cell>
          <cell r="O382">
            <v>68</v>
          </cell>
          <cell r="P382" t="str">
            <v>Silver</v>
          </cell>
          <cell r="Q382" t="str">
            <v>Male</v>
          </cell>
          <cell r="R382">
            <v>0.65753424657534243</v>
          </cell>
        </row>
        <row r="383">
          <cell r="N383" t="str">
            <v>69GoldFemale</v>
          </cell>
          <cell r="O383">
            <v>69</v>
          </cell>
          <cell r="P383" t="str">
            <v>Gold</v>
          </cell>
          <cell r="Q383" t="str">
            <v>Female</v>
          </cell>
          <cell r="R383">
            <v>1</v>
          </cell>
        </row>
        <row r="384">
          <cell r="N384" t="str">
            <v>69GoldMale</v>
          </cell>
          <cell r="O384">
            <v>69</v>
          </cell>
          <cell r="P384" t="str">
            <v>Gold</v>
          </cell>
          <cell r="Q384" t="str">
            <v>Male</v>
          </cell>
          <cell r="R384">
            <v>0.62465753424657533</v>
          </cell>
        </row>
        <row r="385">
          <cell r="N385" t="str">
            <v>69SilverMale</v>
          </cell>
          <cell r="O385">
            <v>69</v>
          </cell>
          <cell r="P385" t="str">
            <v>Silver</v>
          </cell>
          <cell r="Q385" t="str">
            <v>Male</v>
          </cell>
          <cell r="R385">
            <v>0</v>
          </cell>
        </row>
        <row r="386">
          <cell r="N386" t="str">
            <v>70GoldFemale</v>
          </cell>
          <cell r="O386">
            <v>70</v>
          </cell>
          <cell r="P386" t="str">
            <v>Gold</v>
          </cell>
          <cell r="Q386" t="str">
            <v>Female</v>
          </cell>
          <cell r="R386">
            <v>1</v>
          </cell>
        </row>
        <row r="387">
          <cell r="N387" t="str">
            <v>70GoldMale</v>
          </cell>
          <cell r="O387">
            <v>70</v>
          </cell>
          <cell r="P387" t="str">
            <v>Gold</v>
          </cell>
          <cell r="Q387" t="str">
            <v>Male</v>
          </cell>
          <cell r="R387">
            <v>0</v>
          </cell>
        </row>
        <row r="388">
          <cell r="N388" t="str">
            <v>70SilverMale</v>
          </cell>
          <cell r="O388">
            <v>70</v>
          </cell>
          <cell r="P388" t="str">
            <v>Silver</v>
          </cell>
          <cell r="Q388" t="str">
            <v>Male</v>
          </cell>
          <cell r="R388">
            <v>0</v>
          </cell>
        </row>
        <row r="389">
          <cell r="N389" t="str">
            <v>71GoldFemale</v>
          </cell>
          <cell r="O389">
            <v>71</v>
          </cell>
          <cell r="P389" t="str">
            <v>Gold</v>
          </cell>
          <cell r="Q389" t="str">
            <v>Female</v>
          </cell>
          <cell r="R389">
            <v>0.62465753424657533</v>
          </cell>
        </row>
        <row r="390">
          <cell r="N390" t="str">
            <v>71GoldMale</v>
          </cell>
          <cell r="O390">
            <v>71</v>
          </cell>
          <cell r="P390" t="str">
            <v>Gold</v>
          </cell>
          <cell r="Q390" t="str">
            <v>Male</v>
          </cell>
          <cell r="R390">
            <v>1</v>
          </cell>
        </row>
        <row r="391">
          <cell r="N391" t="str">
            <v>72GoldFemale</v>
          </cell>
          <cell r="O391">
            <v>72</v>
          </cell>
          <cell r="P391" t="str">
            <v>Gold</v>
          </cell>
          <cell r="Q391" t="str">
            <v>Female</v>
          </cell>
          <cell r="R391">
            <v>0</v>
          </cell>
        </row>
        <row r="392">
          <cell r="N392" t="str">
            <v>72GoldMale</v>
          </cell>
          <cell r="O392">
            <v>72</v>
          </cell>
          <cell r="P392" t="str">
            <v>Gold</v>
          </cell>
          <cell r="Q392" t="str">
            <v>Male</v>
          </cell>
          <cell r="R392">
            <v>1</v>
          </cell>
        </row>
        <row r="393">
          <cell r="N393" t="str">
            <v>72SilverMale</v>
          </cell>
          <cell r="O393">
            <v>72</v>
          </cell>
          <cell r="P393" t="str">
            <v>Silver</v>
          </cell>
          <cell r="Q393" t="str">
            <v>Male</v>
          </cell>
          <cell r="R393">
            <v>0</v>
          </cell>
        </row>
        <row r="394">
          <cell r="N394" t="str">
            <v>73GoldMale</v>
          </cell>
          <cell r="O394">
            <v>73</v>
          </cell>
          <cell r="P394" t="str">
            <v>Gold</v>
          </cell>
          <cell r="Q394" t="str">
            <v>Male</v>
          </cell>
          <cell r="R394">
            <v>0.56986301369863013</v>
          </cell>
        </row>
        <row r="395">
          <cell r="N395" t="str">
            <v>74SilverMale</v>
          </cell>
          <cell r="O395">
            <v>74</v>
          </cell>
          <cell r="P395" t="str">
            <v>Silver</v>
          </cell>
          <cell r="Q395" t="str">
            <v>Male</v>
          </cell>
          <cell r="R395">
            <v>0</v>
          </cell>
        </row>
      </sheetData>
      <sheetData sheetId="20"/>
      <sheetData sheetId="21"/>
      <sheetData sheetId="22">
        <row r="218">
          <cell r="K218">
            <v>1221.9273306339583</v>
          </cell>
        </row>
      </sheetData>
      <sheetData sheetId="23"/>
      <sheetData sheetId="24">
        <row r="186">
          <cell r="E186">
            <v>0</v>
          </cell>
        </row>
      </sheetData>
      <sheetData sheetId="25"/>
      <sheetData sheetId="26">
        <row r="157">
          <cell r="K157">
            <v>1925.078645562196</v>
          </cell>
        </row>
      </sheetData>
      <sheetData sheetId="27"/>
      <sheetData sheetId="28"/>
      <sheetData sheetId="29">
        <row r="156">
          <cell r="D156">
            <v>0.27604540521304471</v>
          </cell>
        </row>
      </sheetData>
      <sheetData sheetId="30"/>
      <sheetData sheetId="31"/>
      <sheetData sheetId="32"/>
      <sheetData sheetId="33"/>
      <sheetData sheetId="34"/>
      <sheetData sheetId="35"/>
      <sheetData sheetId="36">
        <row r="61">
          <cell r="G61">
            <v>3.2500000000000001E-2</v>
          </cell>
          <cell r="H61">
            <v>0.06</v>
          </cell>
          <cell r="I61">
            <v>5.5E-2</v>
          </cell>
        </row>
      </sheetData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toil"/>
      <sheetName val="Chevron"/>
      <sheetName val="G4S"/>
      <sheetName val="PetroMar"/>
      <sheetName val="Confiango"/>
      <sheetName val="LOGISTUS"/>
      <sheetName val="BCA I"/>
      <sheetName val="BCA II"/>
      <sheetName val="CIR OIL"/>
      <sheetName val="Argin"/>
      <sheetName val="SIDE"/>
      <sheetName val="SODE"/>
      <sheetName val="ESPACO CASA"/>
      <sheetName val="BIC Gross Rates"/>
      <sheetName val="BIC Gross Rates_UNISAÚDE"/>
      <sheetName val="Summary"/>
      <sheetName val="Comments on comparison"/>
      <sheetName val="Folha1"/>
      <sheetName val="BIC Table of benefi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3">
          <cell r="D13">
            <v>108.617</v>
          </cell>
        </row>
      </sheetData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1F49D-77CC-46D1-859A-79C18E3AF7B0}">
  <dimension ref="A1:Z46"/>
  <sheetViews>
    <sheetView tabSelected="1" topLeftCell="C18" workbookViewId="0">
      <selection activeCell="W40" sqref="W40"/>
    </sheetView>
  </sheetViews>
  <sheetFormatPr defaultRowHeight="15" x14ac:dyDescent="0.25"/>
  <cols>
    <col min="1" max="1" width="9.28515625" style="10" bestFit="1" customWidth="1"/>
    <col min="2" max="2" width="10.7109375" style="10" bestFit="1" customWidth="1"/>
    <col min="3" max="14" width="9.28515625" style="10" bestFit="1" customWidth="1"/>
    <col min="16" max="16" width="12.28515625" customWidth="1"/>
    <col min="17" max="17" width="15.28515625" customWidth="1"/>
    <col min="18" max="18" width="13.42578125" customWidth="1"/>
    <col min="19" max="19" width="8.85546875" customWidth="1"/>
    <col min="20" max="20" width="10.28515625" bestFit="1" customWidth="1"/>
    <col min="21" max="21" width="14.85546875" customWidth="1"/>
    <col min="22" max="22" width="13" customWidth="1"/>
    <col min="24" max="24" width="14.7109375" customWidth="1"/>
    <col min="25" max="25" width="14.140625" customWidth="1"/>
    <col min="26" max="26" width="18" customWidth="1"/>
  </cols>
  <sheetData>
    <row r="1" spans="1:14" x14ac:dyDescent="0.25">
      <c r="A1" s="10" t="s">
        <v>1</v>
      </c>
      <c r="B1" s="12">
        <v>45586</v>
      </c>
    </row>
    <row r="2" spans="1:14" x14ac:dyDescent="0.25">
      <c r="A2" s="5" t="s">
        <v>4</v>
      </c>
      <c r="N2" s="11" t="s">
        <v>0</v>
      </c>
    </row>
    <row r="3" spans="1:14" ht="12.75" x14ac:dyDescent="0.2">
      <c r="A3" s="1"/>
      <c r="B3" s="1"/>
      <c r="C3" s="32" t="s">
        <v>2</v>
      </c>
      <c r="D3" s="33"/>
      <c r="E3" s="33"/>
      <c r="F3" s="33"/>
      <c r="G3" s="34" t="s">
        <v>3</v>
      </c>
      <c r="H3" s="35"/>
      <c r="I3" s="35"/>
      <c r="J3" s="35"/>
      <c r="K3" s="36" t="s">
        <v>9</v>
      </c>
      <c r="L3" s="37"/>
      <c r="M3" s="37"/>
      <c r="N3" s="37"/>
    </row>
    <row r="4" spans="1:14" ht="12.75" x14ac:dyDescent="0.2">
      <c r="A4" s="1"/>
      <c r="B4" s="1"/>
      <c r="C4" s="6"/>
      <c r="D4" s="6"/>
      <c r="E4" s="6" t="s">
        <v>8</v>
      </c>
      <c r="F4" s="6" t="s">
        <v>8</v>
      </c>
      <c r="G4" s="7"/>
      <c r="H4" s="7"/>
      <c r="I4" s="7" t="s">
        <v>8</v>
      </c>
      <c r="J4" s="7" t="s">
        <v>8</v>
      </c>
      <c r="K4" s="8"/>
      <c r="L4" s="8"/>
      <c r="M4" s="2" t="s">
        <v>8</v>
      </c>
      <c r="N4" s="2" t="s">
        <v>8</v>
      </c>
    </row>
    <row r="5" spans="1:14" ht="12.75" x14ac:dyDescent="0.2">
      <c r="A5" s="1"/>
      <c r="B5" s="1"/>
      <c r="C5" s="4" t="s">
        <v>6</v>
      </c>
      <c r="D5" s="4" t="s">
        <v>7</v>
      </c>
      <c r="E5" s="4" t="s">
        <v>6</v>
      </c>
      <c r="F5" s="4" t="s">
        <v>7</v>
      </c>
      <c r="G5" s="3" t="s">
        <v>6</v>
      </c>
      <c r="H5" s="3" t="s">
        <v>7</v>
      </c>
      <c r="I5" s="3" t="s">
        <v>6</v>
      </c>
      <c r="J5" s="3" t="s">
        <v>7</v>
      </c>
      <c r="K5" s="2" t="s">
        <v>6</v>
      </c>
      <c r="L5" s="2" t="s">
        <v>7</v>
      </c>
      <c r="M5" s="2" t="s">
        <v>6</v>
      </c>
      <c r="N5" s="2" t="s">
        <v>7</v>
      </c>
    </row>
    <row r="6" spans="1:14" x14ac:dyDescent="0.25">
      <c r="A6" s="1">
        <v>0</v>
      </c>
      <c r="B6" s="1">
        <v>5</v>
      </c>
      <c r="C6" s="9"/>
      <c r="D6" s="9"/>
      <c r="E6" s="9">
        <v>327490.6334738778</v>
      </c>
      <c r="F6" s="9">
        <v>303232.06803136825</v>
      </c>
      <c r="G6" s="9">
        <v>0</v>
      </c>
      <c r="H6" s="9">
        <v>0</v>
      </c>
      <c r="I6" s="9">
        <v>615600</v>
      </c>
      <c r="J6" s="9">
        <v>569999.99999999988</v>
      </c>
      <c r="K6" s="9">
        <v>0</v>
      </c>
      <c r="L6" s="9">
        <v>0</v>
      </c>
      <c r="M6" s="9">
        <v>843565.94746197318</v>
      </c>
      <c r="N6" s="9">
        <v>781079.58098330838</v>
      </c>
    </row>
    <row r="7" spans="1:14" x14ac:dyDescent="0.25">
      <c r="A7" s="1">
        <v>6</v>
      </c>
      <c r="B7" s="1">
        <v>10</v>
      </c>
      <c r="C7" s="9"/>
      <c r="D7" s="9"/>
      <c r="E7" s="9">
        <v>145551.39265505681</v>
      </c>
      <c r="F7" s="9">
        <v>121292.82721254736</v>
      </c>
      <c r="G7" s="9">
        <v>0</v>
      </c>
      <c r="H7" s="9">
        <v>0</v>
      </c>
      <c r="I7" s="9">
        <v>273600</v>
      </c>
      <c r="J7" s="9">
        <v>228000</v>
      </c>
      <c r="K7" s="9">
        <v>0</v>
      </c>
      <c r="L7" s="9">
        <v>0</v>
      </c>
      <c r="M7" s="9">
        <v>374918.19887198793</v>
      </c>
      <c r="N7" s="9">
        <v>312431.83239332342</v>
      </c>
    </row>
    <row r="8" spans="1:14" x14ac:dyDescent="0.25">
      <c r="A8" s="1">
        <v>11</v>
      </c>
      <c r="B8" s="1">
        <v>15</v>
      </c>
      <c r="C8" s="9"/>
      <c r="D8" s="9"/>
      <c r="E8" s="9">
        <v>111589.4010355436</v>
      </c>
      <c r="F8" s="9">
        <v>116441.11412404547</v>
      </c>
      <c r="G8" s="9">
        <v>0</v>
      </c>
      <c r="H8" s="9">
        <v>0</v>
      </c>
      <c r="I8" s="9">
        <v>209760</v>
      </c>
      <c r="J8" s="9">
        <v>218880</v>
      </c>
      <c r="K8" s="9">
        <v>0</v>
      </c>
      <c r="L8" s="9">
        <v>0</v>
      </c>
      <c r="M8" s="9">
        <v>287437.28580185765</v>
      </c>
      <c r="N8" s="9">
        <v>299934.55909759057</v>
      </c>
    </row>
    <row r="9" spans="1:14" x14ac:dyDescent="0.25">
      <c r="A9" s="1">
        <v>16</v>
      </c>
      <c r="B9" s="1">
        <v>20</v>
      </c>
      <c r="C9" s="9">
        <v>181675.56075966323</v>
      </c>
      <c r="D9" s="9">
        <v>267706.26772341807</v>
      </c>
      <c r="E9" s="9">
        <v>151616.03401568418</v>
      </c>
      <c r="F9" s="9">
        <v>157680.67537631161</v>
      </c>
      <c r="G9" s="9">
        <v>284999.99999999994</v>
      </c>
      <c r="H9" s="9">
        <v>456000</v>
      </c>
      <c r="I9" s="9">
        <v>284999.99999999994</v>
      </c>
      <c r="J9" s="9">
        <v>296400.00000000006</v>
      </c>
      <c r="K9" s="9">
        <v>381516.75917213509</v>
      </c>
      <c r="L9" s="9">
        <v>645596.8979300271</v>
      </c>
      <c r="M9" s="9">
        <v>390539.7904916543</v>
      </c>
      <c r="N9" s="9">
        <v>406161.38211132062</v>
      </c>
    </row>
    <row r="10" spans="1:14" x14ac:dyDescent="0.25">
      <c r="A10" s="1">
        <v>21</v>
      </c>
      <c r="B10" s="1">
        <v>25</v>
      </c>
      <c r="C10" s="9">
        <v>321202.39142308477</v>
      </c>
      <c r="D10" s="9">
        <v>669265.66930854495</v>
      </c>
      <c r="E10" s="9">
        <v>268057.14813972969</v>
      </c>
      <c r="F10" s="9">
        <v>424524.89524391585</v>
      </c>
      <c r="G10" s="9">
        <v>503880</v>
      </c>
      <c r="H10" s="9">
        <v>1139999.9999999998</v>
      </c>
      <c r="I10" s="9">
        <v>503880</v>
      </c>
      <c r="J10" s="9">
        <v>798000</v>
      </c>
      <c r="K10" s="9">
        <v>674521.63021633483</v>
      </c>
      <c r="L10" s="9">
        <v>1613992.2448250675</v>
      </c>
      <c r="M10" s="9">
        <v>690474.34958924458</v>
      </c>
      <c r="N10" s="9">
        <v>1093511.4133766317</v>
      </c>
    </row>
    <row r="11" spans="1:14" x14ac:dyDescent="0.25">
      <c r="A11" s="1">
        <v>26</v>
      </c>
      <c r="B11" s="1">
        <v>30</v>
      </c>
      <c r="C11" s="9">
        <v>254345.78506352869</v>
      </c>
      <c r="D11" s="9">
        <v>468485.96851598157</v>
      </c>
      <c r="E11" s="9"/>
      <c r="F11" s="9"/>
      <c r="G11" s="9">
        <v>399000</v>
      </c>
      <c r="H11" s="9">
        <v>798000</v>
      </c>
      <c r="I11" s="9">
        <v>0</v>
      </c>
      <c r="J11" s="9">
        <v>0</v>
      </c>
      <c r="K11" s="9">
        <v>534123.462840989</v>
      </c>
      <c r="L11" s="9">
        <v>1129794.5713775472</v>
      </c>
      <c r="M11" s="9">
        <v>0</v>
      </c>
      <c r="N11" s="9">
        <v>0</v>
      </c>
    </row>
    <row r="12" spans="1:14" x14ac:dyDescent="0.25">
      <c r="A12" s="1">
        <v>31</v>
      </c>
      <c r="B12" s="1">
        <v>35</v>
      </c>
      <c r="C12" s="9">
        <v>210743.65048120945</v>
      </c>
      <c r="D12" s="9">
        <v>441715.34174363967</v>
      </c>
      <c r="E12" s="9"/>
      <c r="F12" s="9"/>
      <c r="G12" s="9">
        <v>330600</v>
      </c>
      <c r="H12" s="9">
        <v>752400</v>
      </c>
      <c r="I12" s="9">
        <v>0</v>
      </c>
      <c r="J12" s="9">
        <v>0</v>
      </c>
      <c r="K12" s="9">
        <v>442559.4406396767</v>
      </c>
      <c r="L12" s="9">
        <v>1065234.8815845444</v>
      </c>
      <c r="M12" s="9">
        <v>0</v>
      </c>
      <c r="N12" s="9">
        <v>0</v>
      </c>
    </row>
    <row r="13" spans="1:14" x14ac:dyDescent="0.25">
      <c r="A13" s="1">
        <v>36</v>
      </c>
      <c r="B13" s="1">
        <v>40</v>
      </c>
      <c r="C13" s="9">
        <v>239811.74020275564</v>
      </c>
      <c r="D13" s="9">
        <v>361403.46142661432</v>
      </c>
      <c r="E13" s="9"/>
      <c r="F13" s="9"/>
      <c r="G13" s="9">
        <v>376200</v>
      </c>
      <c r="H13" s="9">
        <v>615600</v>
      </c>
      <c r="I13" s="9">
        <v>0</v>
      </c>
      <c r="J13" s="9">
        <v>0</v>
      </c>
      <c r="K13" s="9">
        <v>503602.12210721831</v>
      </c>
      <c r="L13" s="9">
        <v>871555.81220553606</v>
      </c>
      <c r="M13" s="9">
        <v>0</v>
      </c>
      <c r="N13" s="9">
        <v>0</v>
      </c>
    </row>
    <row r="14" spans="1:14" x14ac:dyDescent="0.25">
      <c r="A14" s="1">
        <v>41</v>
      </c>
      <c r="B14" s="1">
        <v>45</v>
      </c>
      <c r="C14" s="9">
        <v>215590.75444227725</v>
      </c>
      <c r="D14" s="9">
        <v>308665.02038502338</v>
      </c>
      <c r="E14" s="9"/>
      <c r="F14" s="9"/>
      <c r="G14" s="9">
        <v>353400</v>
      </c>
      <c r="H14" s="9">
        <v>512999.99999999994</v>
      </c>
      <c r="I14" s="9">
        <v>0</v>
      </c>
      <c r="J14" s="9">
        <v>0</v>
      </c>
      <c r="K14" s="9">
        <v>473080.78137344756</v>
      </c>
      <c r="L14" s="9">
        <v>726296.51017128001</v>
      </c>
      <c r="M14" s="9">
        <v>0</v>
      </c>
      <c r="N14" s="9">
        <v>0</v>
      </c>
    </row>
    <row r="15" spans="1:14" x14ac:dyDescent="0.25">
      <c r="A15" s="1">
        <v>46</v>
      </c>
      <c r="B15" s="1">
        <v>50</v>
      </c>
      <c r="C15" s="9">
        <v>262830.12597210181</v>
      </c>
      <c r="D15" s="9">
        <v>399501.79147759476</v>
      </c>
      <c r="E15" s="9"/>
      <c r="F15" s="9"/>
      <c r="G15" s="9">
        <v>427500</v>
      </c>
      <c r="H15" s="9">
        <v>649800.00000000012</v>
      </c>
      <c r="I15" s="9">
        <v>0</v>
      </c>
      <c r="J15" s="9">
        <v>0</v>
      </c>
      <c r="K15" s="9">
        <v>580989.98858700786</v>
      </c>
      <c r="L15" s="9">
        <v>895566.37236301124</v>
      </c>
      <c r="M15" s="9">
        <v>0</v>
      </c>
      <c r="N15" s="9">
        <v>0</v>
      </c>
    </row>
    <row r="16" spans="1:14" x14ac:dyDescent="0.25">
      <c r="A16" s="1">
        <v>51</v>
      </c>
      <c r="B16" s="1">
        <v>55</v>
      </c>
      <c r="C16" s="9">
        <v>290680.89721546136</v>
      </c>
      <c r="D16" s="9">
        <v>290680.89721546136</v>
      </c>
      <c r="E16" s="9"/>
      <c r="F16" s="9"/>
      <c r="G16" s="9">
        <v>456000</v>
      </c>
      <c r="H16" s="9">
        <v>456000</v>
      </c>
      <c r="I16" s="9">
        <v>0</v>
      </c>
      <c r="J16" s="9">
        <v>0</v>
      </c>
      <c r="K16" s="9">
        <v>610426.8146754161</v>
      </c>
      <c r="L16" s="9">
        <v>610426.8146754161</v>
      </c>
      <c r="M16" s="9">
        <v>0</v>
      </c>
      <c r="N16" s="9">
        <v>0</v>
      </c>
    </row>
    <row r="17" spans="1:26" x14ac:dyDescent="0.25">
      <c r="A17" s="1">
        <v>56</v>
      </c>
      <c r="B17" s="1">
        <v>60</v>
      </c>
      <c r="C17" s="9">
        <v>267304.28602864564</v>
      </c>
      <c r="D17" s="9">
        <v>217573.25606982782</v>
      </c>
      <c r="E17" s="9"/>
      <c r="F17" s="9"/>
      <c r="G17" s="9">
        <v>490200</v>
      </c>
      <c r="H17" s="9">
        <v>399000</v>
      </c>
      <c r="I17" s="9">
        <v>0</v>
      </c>
      <c r="J17" s="9">
        <v>0</v>
      </c>
      <c r="K17" s="9">
        <v>671588.72013019898</v>
      </c>
      <c r="L17" s="9">
        <v>546641.98150132468</v>
      </c>
      <c r="M17" s="9">
        <v>0</v>
      </c>
      <c r="N17" s="9">
        <v>0</v>
      </c>
    </row>
    <row r="18" spans="1:26" x14ac:dyDescent="0.25">
      <c r="A18" s="1">
        <v>61</v>
      </c>
      <c r="B18" s="1">
        <v>65</v>
      </c>
      <c r="C18" s="9">
        <v>194883.47365111718</v>
      </c>
      <c r="D18" s="9">
        <v>171261.23442067869</v>
      </c>
      <c r="E18" s="9"/>
      <c r="F18" s="9"/>
      <c r="G18" s="9">
        <v>376200</v>
      </c>
      <c r="H18" s="9">
        <v>330600</v>
      </c>
      <c r="I18" s="9">
        <v>0</v>
      </c>
      <c r="J18" s="9">
        <v>0</v>
      </c>
      <c r="K18" s="9">
        <v>515405.29684410623</v>
      </c>
      <c r="L18" s="9">
        <v>452931.92752966913</v>
      </c>
      <c r="M18" s="9">
        <v>0</v>
      </c>
      <c r="N18" s="9">
        <v>0</v>
      </c>
    </row>
    <row r="19" spans="1:26" x14ac:dyDescent="0.25">
      <c r="A19" s="1">
        <v>66</v>
      </c>
      <c r="B19" s="1">
        <v>70</v>
      </c>
      <c r="C19" s="9">
        <v>183072.354035898</v>
      </c>
      <c r="D19" s="9">
        <v>183072.354035898</v>
      </c>
      <c r="E19" s="9"/>
      <c r="F19" s="9"/>
      <c r="G19" s="9">
        <v>353400</v>
      </c>
      <c r="H19" s="9">
        <v>353400</v>
      </c>
      <c r="I19" s="9">
        <v>0</v>
      </c>
      <c r="J19" s="9">
        <v>0</v>
      </c>
      <c r="K19" s="9">
        <v>484168.61218688759</v>
      </c>
      <c r="L19" s="9">
        <v>484168.61218688759</v>
      </c>
      <c r="M19" s="9">
        <v>0</v>
      </c>
      <c r="N19" s="9">
        <v>0</v>
      </c>
    </row>
    <row r="20" spans="1:26" x14ac:dyDescent="0.25">
      <c r="A20" s="1">
        <v>71</v>
      </c>
      <c r="B20" s="1">
        <v>75</v>
      </c>
      <c r="C20" s="9">
        <v>295277.99038048048</v>
      </c>
      <c r="D20" s="9">
        <v>295277.99038048048</v>
      </c>
      <c r="E20" s="9"/>
      <c r="F20" s="9"/>
      <c r="G20" s="9">
        <v>569999.99999999988</v>
      </c>
      <c r="H20" s="9">
        <v>569999.99999999988</v>
      </c>
      <c r="I20" s="9">
        <v>0</v>
      </c>
      <c r="J20" s="9">
        <v>0</v>
      </c>
      <c r="K20" s="9">
        <v>780917.1164304642</v>
      </c>
      <c r="L20" s="9">
        <v>780917.1164304642</v>
      </c>
      <c r="M20" s="9">
        <v>0</v>
      </c>
      <c r="N20" s="9">
        <v>0</v>
      </c>
    </row>
    <row r="21" spans="1:26" ht="15.75" customHeight="1" x14ac:dyDescent="0.25"/>
    <row r="22" spans="1:26" x14ac:dyDescent="0.25">
      <c r="A22" s="5" t="s">
        <v>5</v>
      </c>
      <c r="N22" s="11" t="s">
        <v>0</v>
      </c>
    </row>
    <row r="23" spans="1:26" ht="12.75" x14ac:dyDescent="0.2">
      <c r="A23" s="1"/>
      <c r="B23" s="1"/>
      <c r="C23" s="32" t="s">
        <v>2</v>
      </c>
      <c r="D23" s="33"/>
      <c r="E23" s="33"/>
      <c r="F23" s="33"/>
      <c r="G23" s="34" t="s">
        <v>3</v>
      </c>
      <c r="H23" s="35"/>
      <c r="I23" s="35"/>
      <c r="J23" s="35"/>
      <c r="K23" s="36" t="s">
        <v>9</v>
      </c>
      <c r="L23" s="37"/>
      <c r="M23" s="37"/>
      <c r="N23" s="37"/>
      <c r="P23" s="14"/>
      <c r="Q23" s="14"/>
      <c r="R23" s="14"/>
      <c r="S23" s="14"/>
      <c r="T23" s="14"/>
      <c r="U23" s="14"/>
    </row>
    <row r="24" spans="1:26" ht="12.75" x14ac:dyDescent="0.2">
      <c r="A24" s="1"/>
      <c r="B24" s="1"/>
      <c r="C24" s="6"/>
      <c r="D24" s="6"/>
      <c r="E24" s="6" t="s">
        <v>8</v>
      </c>
      <c r="F24" s="6" t="s">
        <v>8</v>
      </c>
      <c r="G24" s="7"/>
      <c r="H24" s="7"/>
      <c r="I24" s="7" t="s">
        <v>8</v>
      </c>
      <c r="J24" s="7" t="s">
        <v>8</v>
      </c>
      <c r="K24" s="8"/>
      <c r="L24" s="8"/>
      <c r="M24" s="2" t="s">
        <v>8</v>
      </c>
      <c r="N24" s="2" t="s">
        <v>8</v>
      </c>
      <c r="P24" s="15"/>
      <c r="Q24" s="15"/>
      <c r="R24" s="15"/>
      <c r="S24" s="15"/>
      <c r="T24" s="15"/>
      <c r="U24" s="15"/>
    </row>
    <row r="25" spans="1:26" ht="12.75" x14ac:dyDescent="0.2">
      <c r="A25" s="1"/>
      <c r="B25" s="1"/>
      <c r="C25" s="4" t="s">
        <v>6</v>
      </c>
      <c r="D25" s="4" t="s">
        <v>7</v>
      </c>
      <c r="E25" s="4" t="s">
        <v>6</v>
      </c>
      <c r="F25" s="4" t="s">
        <v>7</v>
      </c>
      <c r="G25" s="3" t="s">
        <v>6</v>
      </c>
      <c r="H25" s="3" t="s">
        <v>7</v>
      </c>
      <c r="I25" s="3" t="s">
        <v>6</v>
      </c>
      <c r="J25" s="3" t="s">
        <v>7</v>
      </c>
      <c r="K25" s="2" t="s">
        <v>6</v>
      </c>
      <c r="L25" s="2" t="s">
        <v>7</v>
      </c>
      <c r="M25" s="2" t="s">
        <v>6</v>
      </c>
      <c r="N25" s="2" t="s">
        <v>7</v>
      </c>
      <c r="P25" s="16" t="s">
        <v>10</v>
      </c>
      <c r="Q25" s="29" t="s">
        <v>21</v>
      </c>
      <c r="R25" s="27" t="s">
        <v>18</v>
      </c>
      <c r="S25" s="17"/>
      <c r="T25" s="16" t="s">
        <v>11</v>
      </c>
      <c r="U25" s="29" t="s">
        <v>21</v>
      </c>
      <c r="V25" s="27" t="s">
        <v>19</v>
      </c>
      <c r="X25" s="16" t="s">
        <v>12</v>
      </c>
      <c r="Y25" s="29" t="s">
        <v>21</v>
      </c>
      <c r="Z25" s="28" t="s">
        <v>20</v>
      </c>
    </row>
    <row r="26" spans="1:26" x14ac:dyDescent="0.25">
      <c r="A26" s="24">
        <v>0</v>
      </c>
      <c r="B26" s="1">
        <v>5</v>
      </c>
      <c r="C26" s="9"/>
      <c r="D26" s="9"/>
      <c r="E26" s="9">
        <v>409363.29184234724</v>
      </c>
      <c r="F26" s="9">
        <v>379040.08503921033</v>
      </c>
      <c r="G26" s="9">
        <v>0</v>
      </c>
      <c r="H26" s="9">
        <v>0</v>
      </c>
      <c r="I26" s="9">
        <v>769500</v>
      </c>
      <c r="J26" s="9">
        <v>712499.99999999988</v>
      </c>
      <c r="K26" s="9">
        <v>0</v>
      </c>
      <c r="L26" s="9">
        <v>0</v>
      </c>
      <c r="M26" s="9">
        <v>1054457.4343274664</v>
      </c>
      <c r="N26" s="9">
        <v>976349.47622913541</v>
      </c>
      <c r="P26" s="20">
        <v>181939.24081882101</v>
      </c>
      <c r="Q26" s="20">
        <f>P26*5%</f>
        <v>9096.9620409410509</v>
      </c>
      <c r="R26" s="20">
        <f>P26-Q26</f>
        <v>172842.27877787995</v>
      </c>
      <c r="S26" s="20"/>
      <c r="T26" s="20">
        <v>342000</v>
      </c>
      <c r="U26" s="20">
        <f>T26*5%</f>
        <v>17100</v>
      </c>
      <c r="V26" s="22">
        <f>T26-U26</f>
        <v>324900</v>
      </c>
      <c r="X26" s="15">
        <v>468647.7485899849</v>
      </c>
      <c r="Y26" s="20">
        <f>X26*5%</f>
        <v>23432.387429499246</v>
      </c>
      <c r="Z26" s="30">
        <f>X26-Y26</f>
        <v>445215.36116048566</v>
      </c>
    </row>
    <row r="27" spans="1:26" x14ac:dyDescent="0.25">
      <c r="A27" s="24">
        <v>6</v>
      </c>
      <c r="B27" s="1">
        <v>10</v>
      </c>
      <c r="C27" s="9"/>
      <c r="D27" s="9"/>
      <c r="E27" s="13">
        <v>181939.24081882101</v>
      </c>
      <c r="F27" s="9">
        <v>151616.03401568421</v>
      </c>
      <c r="G27" s="9">
        <v>0</v>
      </c>
      <c r="H27" s="9">
        <v>0</v>
      </c>
      <c r="I27" s="13">
        <v>342000</v>
      </c>
      <c r="J27" s="9">
        <v>285000</v>
      </c>
      <c r="K27" s="9">
        <v>0</v>
      </c>
      <c r="L27" s="9">
        <v>0</v>
      </c>
      <c r="M27" s="13">
        <v>468647.7485899849</v>
      </c>
      <c r="N27" s="9">
        <v>390539.7904916543</v>
      </c>
      <c r="P27" s="20">
        <v>145551.39265505684</v>
      </c>
      <c r="Q27" s="20">
        <f t="shared" ref="Q27:Q32" si="0">P27*5%</f>
        <v>7277.5696327528422</v>
      </c>
      <c r="R27" s="20">
        <f t="shared" ref="R27:R32" si="1">P27-Q27</f>
        <v>138273.82302230399</v>
      </c>
      <c r="S27" s="20"/>
      <c r="T27" s="20">
        <v>273600</v>
      </c>
      <c r="U27" s="20">
        <f t="shared" ref="U27:U32" si="2">T27*5%</f>
        <v>13680</v>
      </c>
      <c r="V27" s="22">
        <f t="shared" ref="V27:V32" si="3">T27-U27</f>
        <v>259920</v>
      </c>
      <c r="X27" s="15">
        <v>374918.19887198822</v>
      </c>
      <c r="Y27" s="20">
        <f t="shared" ref="Y27:Y32" si="4">X27*5%</f>
        <v>18745.90994359941</v>
      </c>
      <c r="Z27" s="30">
        <f t="shared" ref="Z27:Z32" si="5">X27-Y27</f>
        <v>356172.28892838879</v>
      </c>
    </row>
    <row r="28" spans="1:26" x14ac:dyDescent="0.25">
      <c r="A28" s="24">
        <v>11</v>
      </c>
      <c r="B28" s="1">
        <v>15</v>
      </c>
      <c r="C28" s="9"/>
      <c r="D28" s="9"/>
      <c r="E28" s="9">
        <v>139486.7512944295</v>
      </c>
      <c r="F28" s="13">
        <v>145551.39265505684</v>
      </c>
      <c r="G28" s="9">
        <v>0</v>
      </c>
      <c r="H28" s="9">
        <v>0</v>
      </c>
      <c r="I28" s="9">
        <v>262200</v>
      </c>
      <c r="J28" s="13">
        <v>273600</v>
      </c>
      <c r="K28" s="9">
        <v>0</v>
      </c>
      <c r="L28" s="9">
        <v>0</v>
      </c>
      <c r="M28" s="9">
        <v>359296.60725232208</v>
      </c>
      <c r="N28" s="13">
        <v>374918.19887198822</v>
      </c>
      <c r="P28" s="20">
        <v>0</v>
      </c>
      <c r="Q28" s="20">
        <f t="shared" si="0"/>
        <v>0</v>
      </c>
      <c r="R28" s="20">
        <f t="shared" si="1"/>
        <v>0</v>
      </c>
      <c r="S28" s="16"/>
      <c r="T28" s="20">
        <v>0</v>
      </c>
      <c r="U28" s="20">
        <f t="shared" si="2"/>
        <v>0</v>
      </c>
      <c r="V28" s="22">
        <f t="shared" si="3"/>
        <v>0</v>
      </c>
      <c r="X28" s="15">
        <v>0</v>
      </c>
      <c r="Y28" s="20">
        <f t="shared" si="4"/>
        <v>0</v>
      </c>
      <c r="Z28" s="30">
        <f t="shared" si="5"/>
        <v>0</v>
      </c>
    </row>
    <row r="29" spans="1:26" x14ac:dyDescent="0.25">
      <c r="A29" s="24">
        <v>16</v>
      </c>
      <c r="B29" s="1">
        <v>20</v>
      </c>
      <c r="C29" s="9">
        <v>227094.45094957904</v>
      </c>
      <c r="D29" s="9">
        <v>334632.83465427259</v>
      </c>
      <c r="E29" s="9">
        <v>189520.04251960522</v>
      </c>
      <c r="F29" s="9">
        <v>197100.84422038952</v>
      </c>
      <c r="G29" s="9">
        <v>356249.99999999994</v>
      </c>
      <c r="H29" s="9">
        <v>570000</v>
      </c>
      <c r="I29" s="9">
        <v>356249.99999999994</v>
      </c>
      <c r="J29" s="9">
        <v>370500.00000000006</v>
      </c>
      <c r="K29" s="9">
        <v>476895.94896516885</v>
      </c>
      <c r="L29" s="9">
        <v>806996.12241253385</v>
      </c>
      <c r="M29" s="9">
        <v>488174.73811456788</v>
      </c>
      <c r="N29" s="9">
        <v>507701.72763915081</v>
      </c>
      <c r="P29" s="20">
        <v>0</v>
      </c>
      <c r="Q29" s="20">
        <f t="shared" si="0"/>
        <v>0</v>
      </c>
      <c r="R29" s="20">
        <f t="shared" si="1"/>
        <v>0</v>
      </c>
      <c r="S29" s="16"/>
      <c r="T29" s="20">
        <v>0</v>
      </c>
      <c r="U29" s="20">
        <f t="shared" si="2"/>
        <v>0</v>
      </c>
      <c r="V29" s="22">
        <f t="shared" si="3"/>
        <v>0</v>
      </c>
      <c r="X29" s="15">
        <v>0</v>
      </c>
      <c r="Y29" s="20">
        <f t="shared" si="4"/>
        <v>0</v>
      </c>
      <c r="Z29" s="30">
        <f t="shared" si="5"/>
        <v>0</v>
      </c>
    </row>
    <row r="30" spans="1:26" x14ac:dyDescent="0.25">
      <c r="A30" s="24">
        <v>21</v>
      </c>
      <c r="B30" s="1">
        <v>25</v>
      </c>
      <c r="C30" s="9">
        <v>401502.98927885597</v>
      </c>
      <c r="D30" s="9">
        <v>836582.08663568122</v>
      </c>
      <c r="E30" s="9">
        <v>335071.4351746621</v>
      </c>
      <c r="F30" s="9">
        <v>530656.11905489478</v>
      </c>
      <c r="G30" s="9">
        <v>629850</v>
      </c>
      <c r="H30" s="9">
        <v>1424999.9999999998</v>
      </c>
      <c r="I30" s="9">
        <v>629850</v>
      </c>
      <c r="J30" s="9">
        <v>997500</v>
      </c>
      <c r="K30" s="9">
        <v>843152.03777041857</v>
      </c>
      <c r="L30" s="9">
        <v>2017490.3060313342</v>
      </c>
      <c r="M30" s="9">
        <v>863092.93698655569</v>
      </c>
      <c r="N30" s="9">
        <v>1366889.2667207895</v>
      </c>
      <c r="P30" s="20">
        <v>0</v>
      </c>
      <c r="Q30" s="20">
        <f t="shared" si="0"/>
        <v>0</v>
      </c>
      <c r="R30" s="20">
        <f t="shared" si="1"/>
        <v>0</v>
      </c>
      <c r="S30" s="21"/>
      <c r="T30" s="20">
        <v>0</v>
      </c>
      <c r="U30" s="20">
        <f t="shared" si="2"/>
        <v>0</v>
      </c>
      <c r="V30" s="22">
        <f t="shared" si="3"/>
        <v>0</v>
      </c>
      <c r="X30" s="15">
        <v>0</v>
      </c>
      <c r="Y30" s="20">
        <f t="shared" si="4"/>
        <v>0</v>
      </c>
      <c r="Z30" s="30">
        <f t="shared" si="5"/>
        <v>0</v>
      </c>
    </row>
    <row r="31" spans="1:26" x14ac:dyDescent="0.25">
      <c r="A31" s="24">
        <v>26</v>
      </c>
      <c r="B31" s="1">
        <v>30</v>
      </c>
      <c r="C31" s="9">
        <v>317932.23132941086</v>
      </c>
      <c r="D31" s="9">
        <v>585607.46064497693</v>
      </c>
      <c r="E31" s="9"/>
      <c r="F31" s="9"/>
      <c r="G31" s="9">
        <v>498750</v>
      </c>
      <c r="H31" s="9">
        <v>997500</v>
      </c>
      <c r="I31" s="9">
        <v>0</v>
      </c>
      <c r="J31" s="9">
        <v>0</v>
      </c>
      <c r="K31" s="9">
        <v>667654.32855123631</v>
      </c>
      <c r="L31" s="9">
        <v>1412243.2142219341</v>
      </c>
      <c r="M31" s="9">
        <v>0</v>
      </c>
      <c r="N31" s="9">
        <v>0</v>
      </c>
      <c r="P31" s="20">
        <v>0</v>
      </c>
      <c r="Q31" s="20">
        <f t="shared" si="0"/>
        <v>0</v>
      </c>
      <c r="R31" s="20">
        <f t="shared" si="1"/>
        <v>0</v>
      </c>
      <c r="S31" s="19"/>
      <c r="T31" s="20">
        <v>0</v>
      </c>
      <c r="U31" s="20">
        <f t="shared" si="2"/>
        <v>0</v>
      </c>
      <c r="V31" s="22">
        <f t="shared" si="3"/>
        <v>0</v>
      </c>
      <c r="X31" s="15">
        <v>0</v>
      </c>
      <c r="Y31" s="20">
        <f t="shared" si="4"/>
        <v>0</v>
      </c>
      <c r="Z31" s="30">
        <f t="shared" si="5"/>
        <v>0</v>
      </c>
    </row>
    <row r="32" spans="1:26" x14ac:dyDescent="0.25">
      <c r="A32" s="24">
        <v>31</v>
      </c>
      <c r="B32" s="1">
        <v>35</v>
      </c>
      <c r="C32" s="9">
        <v>263429.5631015118</v>
      </c>
      <c r="D32" s="9">
        <v>552144.17717954959</v>
      </c>
      <c r="E32" s="9"/>
      <c r="F32" s="9"/>
      <c r="G32" s="9">
        <v>413250</v>
      </c>
      <c r="H32" s="9">
        <v>940500</v>
      </c>
      <c r="I32" s="9">
        <v>0</v>
      </c>
      <c r="J32" s="9">
        <v>0</v>
      </c>
      <c r="K32" s="9">
        <v>553199.30079959601</v>
      </c>
      <c r="L32" s="9">
        <v>1331543.6019806806</v>
      </c>
      <c r="M32" s="9">
        <v>0</v>
      </c>
      <c r="N32" s="9">
        <v>0</v>
      </c>
      <c r="P32" s="20">
        <v>0</v>
      </c>
      <c r="Q32" s="20">
        <f t="shared" si="0"/>
        <v>0</v>
      </c>
      <c r="R32" s="20">
        <f t="shared" si="1"/>
        <v>0</v>
      </c>
      <c r="S32" s="19"/>
      <c r="T32" s="20">
        <v>0</v>
      </c>
      <c r="U32" s="20">
        <f t="shared" si="2"/>
        <v>0</v>
      </c>
      <c r="V32" s="22">
        <f t="shared" si="3"/>
        <v>0</v>
      </c>
      <c r="X32" s="15">
        <v>0</v>
      </c>
      <c r="Y32" s="20">
        <f t="shared" si="4"/>
        <v>0</v>
      </c>
      <c r="Z32" s="30">
        <f t="shared" si="5"/>
        <v>0</v>
      </c>
    </row>
    <row r="33" spans="1:26" x14ac:dyDescent="0.25">
      <c r="A33" s="24">
        <v>36</v>
      </c>
      <c r="B33" s="1">
        <v>40</v>
      </c>
      <c r="C33" s="9">
        <v>299764.67525344453</v>
      </c>
      <c r="D33" s="9">
        <v>451754.3267832679</v>
      </c>
      <c r="E33" s="9"/>
      <c r="F33" s="9"/>
      <c r="G33" s="9">
        <v>470250</v>
      </c>
      <c r="H33" s="9">
        <v>769500</v>
      </c>
      <c r="I33" s="9">
        <v>0</v>
      </c>
      <c r="J33" s="9">
        <v>0</v>
      </c>
      <c r="K33" s="9">
        <v>629502.65263402287</v>
      </c>
      <c r="L33" s="9">
        <v>1089444.7652569201</v>
      </c>
      <c r="M33" s="9">
        <v>0</v>
      </c>
      <c r="N33" s="9">
        <v>0</v>
      </c>
      <c r="P33" s="19">
        <f>SUM(P26:P32)</f>
        <v>327490.63347387785</v>
      </c>
      <c r="Q33" s="20">
        <f>SUM(Q26:Q32)</f>
        <v>16374.531673693893</v>
      </c>
      <c r="R33" s="19">
        <f>SUM(R26:R32)</f>
        <v>311116.10180018394</v>
      </c>
      <c r="S33" s="17"/>
      <c r="T33" s="16">
        <f>SUM(T26:T32)</f>
        <v>615600</v>
      </c>
      <c r="U33" s="20">
        <f>SUM(U26:U32)</f>
        <v>30780</v>
      </c>
      <c r="V33" s="31">
        <f>SUM(V26:V32)</f>
        <v>584820</v>
      </c>
      <c r="X33" s="38">
        <f>SUM(X26:X32)</f>
        <v>843565.94746197318</v>
      </c>
      <c r="Y33" s="20">
        <f>SUM(Y26:Y32)</f>
        <v>42178.297373098656</v>
      </c>
      <c r="Z33" s="18">
        <f>SUM(Z26:Z32)</f>
        <v>801387.65008887439</v>
      </c>
    </row>
    <row r="34" spans="1:26" x14ac:dyDescent="0.25">
      <c r="A34" s="24">
        <v>41</v>
      </c>
      <c r="B34" s="1">
        <v>45</v>
      </c>
      <c r="C34" s="9">
        <v>269488.44305284659</v>
      </c>
      <c r="D34" s="9">
        <v>385831.27548127924</v>
      </c>
      <c r="E34" s="9"/>
      <c r="F34" s="9"/>
      <c r="G34" s="9">
        <v>441750</v>
      </c>
      <c r="H34" s="9">
        <v>641249.99999999988</v>
      </c>
      <c r="I34" s="9">
        <v>0</v>
      </c>
      <c r="J34" s="9">
        <v>0</v>
      </c>
      <c r="K34" s="9">
        <v>591350.97671680944</v>
      </c>
      <c r="L34" s="9">
        <v>907870.63771410007</v>
      </c>
      <c r="M34" s="9">
        <v>0</v>
      </c>
      <c r="N34" s="9">
        <v>0</v>
      </c>
      <c r="P34" s="17"/>
      <c r="Q34" s="17"/>
      <c r="R34" s="17"/>
      <c r="S34" s="17"/>
      <c r="T34" s="17"/>
      <c r="U34" s="17"/>
    </row>
    <row r="35" spans="1:26" x14ac:dyDescent="0.25">
      <c r="A35" s="24">
        <v>46</v>
      </c>
      <c r="B35" s="1">
        <v>50</v>
      </c>
      <c r="C35" s="9">
        <v>328537.6574651273</v>
      </c>
      <c r="D35" s="9">
        <v>499377.23934699345</v>
      </c>
      <c r="E35" s="9"/>
      <c r="F35" s="9"/>
      <c r="G35" s="9">
        <v>534375</v>
      </c>
      <c r="H35" s="9">
        <v>812250.00000000012</v>
      </c>
      <c r="I35" s="9">
        <v>0</v>
      </c>
      <c r="J35" s="9">
        <v>0</v>
      </c>
      <c r="K35" s="9">
        <v>726237.48573375982</v>
      </c>
      <c r="L35" s="9">
        <v>1119457.965453764</v>
      </c>
      <c r="M35" s="9">
        <v>0</v>
      </c>
      <c r="N35" s="9">
        <v>0</v>
      </c>
      <c r="P35" s="17"/>
      <c r="Q35" s="17"/>
      <c r="R35" s="17"/>
      <c r="S35" s="17"/>
      <c r="T35" s="17"/>
      <c r="U35" s="17"/>
    </row>
    <row r="36" spans="1:26" x14ac:dyDescent="0.25">
      <c r="A36" s="24">
        <v>51</v>
      </c>
      <c r="B36" s="1">
        <v>55</v>
      </c>
      <c r="C36" s="9">
        <v>363351.1215193267</v>
      </c>
      <c r="D36" s="9">
        <v>363351.1215193267</v>
      </c>
      <c r="E36" s="9"/>
      <c r="F36" s="9"/>
      <c r="G36" s="9">
        <v>570000</v>
      </c>
      <c r="H36" s="9">
        <v>570000</v>
      </c>
      <c r="I36" s="9">
        <v>0</v>
      </c>
      <c r="J36" s="9">
        <v>0</v>
      </c>
      <c r="K36" s="9">
        <v>763033.51834427007</v>
      </c>
      <c r="L36" s="9">
        <v>763033.51834427007</v>
      </c>
      <c r="M36" s="9">
        <v>0</v>
      </c>
      <c r="N36" s="9">
        <v>0</v>
      </c>
      <c r="P36" s="18"/>
      <c r="Q36" s="18"/>
      <c r="R36" s="18"/>
      <c r="S36" s="18"/>
      <c r="T36" s="18"/>
      <c r="U36" s="18"/>
    </row>
    <row r="37" spans="1:26" x14ac:dyDescent="0.25">
      <c r="A37" s="24">
        <v>56</v>
      </c>
      <c r="B37" s="1">
        <v>60</v>
      </c>
      <c r="C37" s="9">
        <v>334130.35753580707</v>
      </c>
      <c r="D37" s="9">
        <v>271966.57008728478</v>
      </c>
      <c r="E37" s="9"/>
      <c r="F37" s="9"/>
      <c r="G37" s="9">
        <v>612750</v>
      </c>
      <c r="H37" s="9">
        <v>498750</v>
      </c>
      <c r="I37" s="9">
        <v>0</v>
      </c>
      <c r="J37" s="9">
        <v>0</v>
      </c>
      <c r="K37" s="9">
        <v>839485.90016274876</v>
      </c>
      <c r="L37" s="9">
        <v>683302.47687665583</v>
      </c>
      <c r="M37" s="9">
        <v>0</v>
      </c>
      <c r="N37" s="9">
        <v>0</v>
      </c>
    </row>
    <row r="38" spans="1:26" x14ac:dyDescent="0.25">
      <c r="A38" s="1">
        <v>61</v>
      </c>
      <c r="B38" s="1">
        <v>65</v>
      </c>
      <c r="C38" s="23">
        <v>243604.34206389647</v>
      </c>
      <c r="D38" s="23">
        <v>214076.54302584837</v>
      </c>
      <c r="E38" s="23"/>
      <c r="F38" s="23"/>
      <c r="G38" s="23">
        <v>470250</v>
      </c>
      <c r="H38" s="23">
        <v>413250</v>
      </c>
      <c r="I38" s="23">
        <v>0</v>
      </c>
      <c r="J38" s="23">
        <v>0</v>
      </c>
      <c r="K38" s="23">
        <v>644256.62105513283</v>
      </c>
      <c r="L38" s="23">
        <v>566164.90941208648</v>
      </c>
      <c r="M38" s="23">
        <v>0</v>
      </c>
      <c r="N38" s="23">
        <v>0</v>
      </c>
    </row>
    <row r="39" spans="1:26" x14ac:dyDescent="0.25">
      <c r="A39" s="1">
        <v>66</v>
      </c>
      <c r="B39" s="1">
        <v>70</v>
      </c>
      <c r="C39" s="23">
        <v>228840.44254487249</v>
      </c>
      <c r="D39" s="23">
        <v>228840.44254487249</v>
      </c>
      <c r="E39" s="23"/>
      <c r="F39" s="23"/>
      <c r="G39" s="23">
        <v>441750</v>
      </c>
      <c r="H39" s="23">
        <v>441750</v>
      </c>
      <c r="I39" s="23">
        <v>0</v>
      </c>
      <c r="J39" s="23">
        <v>0</v>
      </c>
      <c r="K39" s="23">
        <v>605210.76523360948</v>
      </c>
      <c r="L39" s="23">
        <v>605210.76523360948</v>
      </c>
      <c r="M39" s="23">
        <v>0</v>
      </c>
      <c r="N39" s="23">
        <v>0</v>
      </c>
    </row>
    <row r="40" spans="1:26" x14ac:dyDescent="0.25">
      <c r="A40" s="1">
        <v>71</v>
      </c>
      <c r="B40" s="1">
        <v>75</v>
      </c>
      <c r="C40" s="9">
        <v>369097.48797560058</v>
      </c>
      <c r="D40" s="9">
        <v>369097.48797560058</v>
      </c>
      <c r="E40" s="23"/>
      <c r="F40" s="23"/>
      <c r="G40" s="23">
        <v>712499.99999999988</v>
      </c>
      <c r="H40" s="23">
        <v>712499.99999999988</v>
      </c>
      <c r="I40" s="23">
        <v>0</v>
      </c>
      <c r="J40" s="23">
        <v>0</v>
      </c>
      <c r="K40" s="23">
        <v>976146.39553808025</v>
      </c>
      <c r="L40" s="23">
        <v>976146.39553808025</v>
      </c>
      <c r="M40" s="23">
        <v>0</v>
      </c>
      <c r="N40" s="23">
        <v>0</v>
      </c>
      <c r="P40" s="25" t="s">
        <v>13</v>
      </c>
      <c r="Q40" s="25" t="s">
        <v>14</v>
      </c>
    </row>
    <row r="41" spans="1:26" x14ac:dyDescent="0.25">
      <c r="P41" s="25" t="s">
        <v>15</v>
      </c>
      <c r="Q41" s="26">
        <v>0.05</v>
      </c>
    </row>
    <row r="42" spans="1:26" x14ac:dyDescent="0.25">
      <c r="P42" s="25" t="s">
        <v>16</v>
      </c>
      <c r="Q42" s="26">
        <v>7.0499999999999993E-2</v>
      </c>
    </row>
    <row r="43" spans="1:26" x14ac:dyDescent="0.25">
      <c r="P43" s="25" t="s">
        <v>17</v>
      </c>
      <c r="Q43" s="26">
        <v>0.1</v>
      </c>
      <c r="R43" s="25"/>
      <c r="S43" s="25"/>
      <c r="T43" s="25"/>
    </row>
    <row r="44" spans="1:26" x14ac:dyDescent="0.25">
      <c r="P44" s="25"/>
      <c r="Q44" s="25"/>
      <c r="R44" s="25"/>
      <c r="S44" s="25"/>
      <c r="T44" s="26"/>
    </row>
    <row r="45" spans="1:26" x14ac:dyDescent="0.25">
      <c r="F45" s="23"/>
      <c r="P45" s="25"/>
      <c r="Q45" s="25"/>
      <c r="R45" s="25"/>
      <c r="S45" s="25"/>
      <c r="T45" s="26"/>
    </row>
    <row r="46" spans="1:26" x14ac:dyDescent="0.25">
      <c r="P46" s="25"/>
      <c r="Q46" s="25"/>
      <c r="R46" s="25"/>
      <c r="S46" s="25"/>
      <c r="T46" s="26"/>
    </row>
  </sheetData>
  <mergeCells count="6">
    <mergeCell ref="C3:F3"/>
    <mergeCell ref="G3:J3"/>
    <mergeCell ref="K3:N3"/>
    <mergeCell ref="C23:F23"/>
    <mergeCell ref="G23:J23"/>
    <mergeCell ref="K23:N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Tarifas Saúde Familiar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Rossouw</dc:creator>
  <cp:lastModifiedBy>Leandro Antunes</cp:lastModifiedBy>
  <cp:lastPrinted>2017-02-21T17:27:01Z</cp:lastPrinted>
  <dcterms:created xsi:type="dcterms:W3CDTF">2015-11-25T13:23:33Z</dcterms:created>
  <dcterms:modified xsi:type="dcterms:W3CDTF">2026-05-11T10:17:12Z</dcterms:modified>
</cp:coreProperties>
</file>